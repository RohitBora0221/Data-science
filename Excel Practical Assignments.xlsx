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hti\OneDrive\Desktop\"/>
    </mc:Choice>
  </mc:AlternateContent>
  <xr:revisionPtr revIDLastSave="0" documentId="13_ncr:1_{4C7313CC-E667-44F8-8DDD-76F1CCE5C064}" xr6:coauthVersionLast="47" xr6:coauthVersionMax="47" xr10:uidLastSave="{00000000-0000-0000-0000-000000000000}"/>
  <bookViews>
    <workbookView xWindow="-108" yWindow="-108" windowWidth="23256" windowHeight="12456" firstSheet="15" activeTab="20" xr2:uid="{00000000-000D-0000-FFFF-FFFF00000000}"/>
  </bookViews>
  <sheets>
    <sheet name="Assignment1" sheetId="1" r:id="rId1"/>
    <sheet name="Assignment2" sheetId="2" r:id="rId2"/>
    <sheet name="Assignment 3" sheetId="3" r:id="rId3"/>
    <sheet name="Assignment4" sheetId="4" r:id="rId4"/>
    <sheet name="Assignment5" sheetId="5" r:id="rId5"/>
    <sheet name="Assignment6" sheetId="6" r:id="rId6"/>
    <sheet name="Assignment7" sheetId="7" r:id="rId7"/>
    <sheet name="Assignment8" sheetId="8" r:id="rId8"/>
    <sheet name="Assignment9" sheetId="9" r:id="rId9"/>
    <sheet name="Assignment10" sheetId="10" r:id="rId10"/>
    <sheet name="Assignment11" sheetId="11" r:id="rId11"/>
    <sheet name="Assignment12" sheetId="12" r:id="rId12"/>
    <sheet name="Sheet1" sheetId="52" r:id="rId13"/>
    <sheet name="Assignment13" sheetId="13" r:id="rId14"/>
    <sheet name="Sheet2" sheetId="53" r:id="rId15"/>
    <sheet name="Assignment14" sheetId="14" r:id="rId16"/>
    <sheet name="Assignment15" sheetId="15" r:id="rId17"/>
    <sheet name="Assignment16" sheetId="16" r:id="rId18"/>
    <sheet name="Assignment17" sheetId="17" r:id="rId19"/>
    <sheet name="Assignment18" sheetId="18" r:id="rId20"/>
    <sheet name="Assignment19" sheetId="19" r:id="rId21"/>
    <sheet name="Assignment20" sheetId="20" r:id="rId22"/>
    <sheet name="Assignment21" sheetId="21" r:id="rId23"/>
    <sheet name="Assignment22" sheetId="22" r:id="rId24"/>
    <sheet name="Assignment23" sheetId="23" r:id="rId25"/>
    <sheet name="Assignment24" sheetId="24" r:id="rId26"/>
    <sheet name="Assignment25" sheetId="25" r:id="rId27"/>
    <sheet name="Assignment26" sheetId="26" r:id="rId28"/>
    <sheet name="Assignment27" sheetId="27" r:id="rId29"/>
    <sheet name="Assignment28" sheetId="28" r:id="rId30"/>
    <sheet name="Assignment29" sheetId="29" r:id="rId31"/>
    <sheet name="Assignment30" sheetId="30" r:id="rId32"/>
    <sheet name="Assignment31" sheetId="31" r:id="rId33"/>
    <sheet name="Assignment32" sheetId="32" r:id="rId34"/>
    <sheet name="MERGE" sheetId="33" r:id="rId35"/>
    <sheet name="Assignment34" sheetId="35" r:id="rId36"/>
    <sheet name="Assignment35" sheetId="36" r:id="rId37"/>
    <sheet name="Assignment36" sheetId="37" r:id="rId38"/>
    <sheet name="Assignment37" sheetId="38" r:id="rId39"/>
    <sheet name="Assignment38" sheetId="39" r:id="rId40"/>
    <sheet name="Assignment39" sheetId="40" r:id="rId41"/>
    <sheet name="Assignment40" sheetId="41" r:id="rId42"/>
    <sheet name="Assignment41" sheetId="42" r:id="rId43"/>
    <sheet name="Assignment42" sheetId="43" r:id="rId44"/>
    <sheet name="Assignment43" sheetId="44" r:id="rId45"/>
    <sheet name="Assignment44" sheetId="45" r:id="rId46"/>
    <sheet name="Assignment45" sheetId="46" r:id="rId47"/>
    <sheet name="Assignment46" sheetId="47" r:id="rId48"/>
    <sheet name="Assignment48" sheetId="48" r:id="rId49"/>
    <sheet name="Assignment47" sheetId="49" r:id="rId50"/>
    <sheet name="Assignment49" sheetId="50" r:id="rId51"/>
    <sheet name="Assignment50" sheetId="51" r:id="rId52"/>
  </sheets>
  <definedNames>
    <definedName name="_xlnm._FilterDatabase" localSheetId="5" hidden="1">Assignment6!$A$4:$C$23</definedName>
  </definedNames>
  <calcPr calcId="191029"/>
  <pivotCaches>
    <pivotCache cacheId="1" r:id="rId53"/>
    <pivotCache cacheId="2" r:id="rId54"/>
    <pivotCache cacheId="6" r:id="rId5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6" roundtripDataChecksum="z+9UD8aFwcz9lqrMDSVrXvbzdajqts4FqUPIV23R/ic="/>
    </ext>
  </extLst>
</workbook>
</file>

<file path=xl/calcChain.xml><?xml version="1.0" encoding="utf-8"?>
<calcChain xmlns="http://schemas.openxmlformats.org/spreadsheetml/2006/main">
  <c r="C19" i="18" l="1"/>
  <c r="C18" i="18"/>
  <c r="C17" i="18"/>
  <c r="C16" i="18"/>
  <c r="C15" i="18"/>
  <c r="C14" i="18"/>
  <c r="C13" i="18"/>
  <c r="C12" i="18"/>
  <c r="C11" i="18"/>
  <c r="B19" i="18"/>
  <c r="B18" i="18"/>
  <c r="B16" i="18"/>
  <c r="B14" i="18"/>
  <c r="B13" i="18"/>
  <c r="B15" i="18"/>
  <c r="B11" i="18"/>
  <c r="B17" i="18"/>
  <c r="B12" i="18"/>
  <c r="B10" i="18"/>
  <c r="G11" i="17"/>
  <c r="F11" i="17"/>
  <c r="F13" i="17"/>
  <c r="G14" i="17"/>
  <c r="F14" i="17"/>
  <c r="G9" i="17"/>
  <c r="F9" i="17"/>
  <c r="G13" i="17"/>
  <c r="G8" i="17"/>
  <c r="F8" i="17"/>
  <c r="G10" i="17"/>
  <c r="G6" i="17"/>
  <c r="F10" i="17"/>
  <c r="F6" i="17"/>
  <c r="F12" i="17"/>
  <c r="F5" i="17"/>
  <c r="F7" i="17"/>
  <c r="G12" i="17"/>
  <c r="G7" i="17"/>
  <c r="G5" i="17"/>
  <c r="F23" i="16"/>
  <c r="M21" i="16"/>
  <c r="M20" i="16"/>
  <c r="K19" i="16"/>
  <c r="I19" i="16"/>
  <c r="I18" i="16"/>
  <c r="J17" i="16"/>
  <c r="I17" i="16"/>
  <c r="C50" i="15"/>
  <c r="C49" i="15"/>
  <c r="E48" i="15"/>
  <c r="D48" i="15"/>
  <c r="E47" i="15"/>
  <c r="D47" i="15"/>
  <c r="D46" i="15"/>
  <c r="E45" i="15"/>
  <c r="D45" i="15"/>
  <c r="E44" i="15"/>
  <c r="D44" i="15"/>
  <c r="J45" i="14"/>
  <c r="K44" i="14"/>
  <c r="J44" i="14"/>
  <c r="K42" i="14"/>
  <c r="J42" i="14"/>
  <c r="K25" i="11"/>
  <c r="J25" i="11"/>
  <c r="I25" i="11"/>
  <c r="G20" i="11"/>
  <c r="G19" i="11"/>
  <c r="G18" i="11"/>
  <c r="F15" i="6"/>
  <c r="F13" i="6"/>
  <c r="F10" i="6"/>
  <c r="E35" i="10"/>
  <c r="I32" i="10"/>
  <c r="I30" i="10"/>
  <c r="I29" i="10"/>
  <c r="G28" i="10"/>
  <c r="F28" i="10"/>
  <c r="F27" i="10"/>
  <c r="I19" i="9"/>
  <c r="I18" i="9"/>
  <c r="I17" i="9"/>
  <c r="H19" i="9"/>
  <c r="H18" i="9"/>
  <c r="H15" i="9"/>
  <c r="H16" i="9"/>
  <c r="H17" i="9"/>
  <c r="I14" i="9"/>
  <c r="H14" i="9"/>
  <c r="I13" i="9"/>
  <c r="H13" i="9"/>
  <c r="I9" i="9"/>
  <c r="I10" i="9"/>
  <c r="I11" i="9"/>
  <c r="I12" i="9"/>
  <c r="I15" i="9"/>
  <c r="I16" i="9"/>
  <c r="H9" i="9"/>
  <c r="H10" i="9"/>
  <c r="H11" i="9"/>
  <c r="H12" i="9"/>
  <c r="I8" i="9"/>
  <c r="H8" i="9"/>
  <c r="F26" i="8"/>
  <c r="F25" i="8"/>
  <c r="I30" i="8"/>
  <c r="I22" i="8"/>
  <c r="I23" i="8"/>
  <c r="I24" i="8"/>
  <c r="I25" i="8"/>
  <c r="I26" i="8"/>
  <c r="I27" i="8"/>
  <c r="I28" i="8"/>
  <c r="I29" i="8"/>
  <c r="I21" i="8"/>
  <c r="I19" i="8"/>
  <c r="H19" i="8"/>
  <c r="H18" i="8"/>
  <c r="H17" i="8"/>
  <c r="F17" i="7"/>
  <c r="F31" i="6"/>
  <c r="F30" i="6"/>
  <c r="F27" i="6"/>
  <c r="H25" i="6"/>
  <c r="G25" i="6"/>
  <c r="F25" i="6"/>
  <c r="F24" i="6"/>
  <c r="N15" i="5"/>
  <c r="P9" i="5"/>
  <c r="O9" i="5"/>
  <c r="E28" i="5"/>
  <c r="M19" i="5"/>
  <c r="M20" i="5"/>
  <c r="M21" i="5"/>
  <c r="M22" i="5"/>
  <c r="M23" i="5"/>
  <c r="M24" i="5"/>
  <c r="M25" i="5"/>
  <c r="M26" i="5"/>
  <c r="M27" i="5"/>
  <c r="M28" i="5"/>
  <c r="F25" i="4"/>
  <c r="F24" i="4"/>
  <c r="L17" i="4"/>
  <c r="L18" i="4"/>
  <c r="L19" i="4"/>
  <c r="L20" i="4"/>
  <c r="L21" i="4"/>
  <c r="L22" i="4"/>
  <c r="L23" i="4"/>
  <c r="L16" i="4"/>
  <c r="N11" i="4"/>
  <c r="L13" i="4"/>
  <c r="L12" i="4"/>
  <c r="L11" i="4"/>
  <c r="J10" i="3"/>
  <c r="J11" i="3"/>
  <c r="J12" i="3"/>
  <c r="J13" i="3"/>
  <c r="J14" i="3"/>
  <c r="J15" i="3"/>
  <c r="J16" i="3"/>
  <c r="J17" i="3"/>
  <c r="J9" i="3"/>
  <c r="J7" i="3"/>
  <c r="J5" i="3"/>
  <c r="E30" i="2" a="1"/>
  <c r="E30" i="2" s="1"/>
  <c r="M25" i="2"/>
  <c r="M24" i="2"/>
  <c r="M23" i="2"/>
  <c r="L24" i="2"/>
  <c r="L23" i="2"/>
  <c r="J23" i="2"/>
  <c r="H32" i="2"/>
  <c r="H31" i="2"/>
  <c r="H30" i="2"/>
  <c r="H29" i="2"/>
  <c r="H28" i="2"/>
  <c r="H27" i="2"/>
  <c r="H26" i="2"/>
  <c r="H25" i="2"/>
  <c r="H24" i="2"/>
  <c r="H23" i="2"/>
  <c r="K33" i="1"/>
  <c r="K32" i="1"/>
  <c r="J33" i="1"/>
  <c r="J32" i="1"/>
  <c r="J27" i="1"/>
  <c r="L24" i="1"/>
  <c r="L23" i="1"/>
  <c r="K24" i="1"/>
  <c r="K23" i="1"/>
  <c r="K20" i="1"/>
  <c r="K19" i="1"/>
  <c r="N7" i="1"/>
  <c r="N8" i="1"/>
  <c r="N9" i="1"/>
  <c r="N10" i="1"/>
  <c r="N11" i="1"/>
  <c r="N12" i="1"/>
  <c r="N13" i="1"/>
  <c r="N14" i="1"/>
  <c r="N15" i="1"/>
  <c r="N6" i="1"/>
  <c r="M15" i="1"/>
  <c r="L15" i="1"/>
  <c r="M14" i="1"/>
  <c r="L14" i="1"/>
  <c r="M7" i="1"/>
  <c r="M8" i="1"/>
  <c r="M9" i="1"/>
  <c r="M10" i="1"/>
  <c r="M11" i="1"/>
  <c r="M12" i="1"/>
  <c r="M13" i="1"/>
  <c r="M6" i="1"/>
  <c r="L13" i="1"/>
  <c r="L12" i="1"/>
  <c r="L11" i="1"/>
  <c r="L10" i="1"/>
  <c r="L9" i="1"/>
  <c r="L8" i="1"/>
  <c r="L6" i="1"/>
  <c r="L7" i="1"/>
  <c r="B21" i="1"/>
  <c r="I20" i="51"/>
  <c r="D17" i="51"/>
  <c r="G16" i="51"/>
  <c r="L15" i="51"/>
  <c r="E15" i="51"/>
  <c r="G15" i="51" s="1"/>
  <c r="C15" i="51"/>
  <c r="D15" i="51" s="1"/>
  <c r="E14" i="51"/>
  <c r="G18" i="51" s="1"/>
  <c r="C14" i="51"/>
  <c r="D14" i="51" s="1"/>
  <c r="E13" i="51"/>
  <c r="G13" i="51" s="1"/>
  <c r="C13" i="51"/>
  <c r="D13" i="51" s="1"/>
  <c r="E12" i="51"/>
  <c r="G12" i="51" s="1"/>
  <c r="C12" i="51"/>
  <c r="D12" i="51" s="1"/>
  <c r="E11" i="51"/>
  <c r="G11" i="51" s="1"/>
  <c r="C11" i="51"/>
  <c r="D11" i="51" s="1"/>
  <c r="E10" i="51"/>
  <c r="G10" i="51" s="1"/>
  <c r="C10" i="51"/>
  <c r="D10" i="51" s="1"/>
  <c r="K9" i="51"/>
  <c r="E9" i="51"/>
  <c r="G9" i="51" s="1"/>
  <c r="C9" i="51"/>
  <c r="D9" i="51" s="1"/>
  <c r="E8" i="51"/>
  <c r="G8" i="51" s="1"/>
  <c r="C8" i="51"/>
  <c r="D8" i="51" s="1"/>
  <c r="E7" i="51"/>
  <c r="G7" i="51" s="1"/>
  <c r="C7" i="51"/>
  <c r="D7" i="51" s="1"/>
  <c r="J6" i="51"/>
  <c r="E6" i="51"/>
  <c r="G6" i="51" s="1"/>
  <c r="C6" i="51"/>
  <c r="D6" i="51" s="1"/>
  <c r="E5" i="51"/>
  <c r="C5" i="51"/>
  <c r="D5" i="51" s="1"/>
  <c r="E22" i="50"/>
  <c r="L17" i="50"/>
  <c r="L16" i="50"/>
  <c r="H15" i="50"/>
  <c r="J15" i="50" s="1"/>
  <c r="J14" i="50"/>
  <c r="H14" i="50"/>
  <c r="H13" i="50"/>
  <c r="J13" i="50" s="1"/>
  <c r="J12" i="50"/>
  <c r="H12" i="50"/>
  <c r="H11" i="50"/>
  <c r="J11" i="50" s="1"/>
  <c r="K18" i="50" s="1"/>
  <c r="J10" i="50"/>
  <c r="H10" i="50"/>
  <c r="H9" i="50"/>
  <c r="J9" i="50" s="1"/>
  <c r="J8" i="50"/>
  <c r="H8" i="50"/>
  <c r="N7" i="50"/>
  <c r="J7" i="50"/>
  <c r="H7" i="50"/>
  <c r="H6" i="50"/>
  <c r="J6" i="50" s="1"/>
  <c r="J5" i="50"/>
  <c r="H5" i="50"/>
  <c r="L4" i="50"/>
  <c r="F39" i="49"/>
  <c r="F38" i="49"/>
  <c r="F37" i="49"/>
  <c r="C36" i="49"/>
  <c r="C35" i="49"/>
  <c r="G34" i="49"/>
  <c r="C34" i="49"/>
  <c r="B13" i="49"/>
  <c r="C5" i="49"/>
  <c r="N17" i="48"/>
  <c r="M16" i="48"/>
  <c r="H15" i="48"/>
  <c r="J15" i="48" s="1"/>
  <c r="M14" i="48"/>
  <c r="J14" i="48"/>
  <c r="H14" i="48"/>
  <c r="K14" i="48" s="1"/>
  <c r="K13" i="48"/>
  <c r="H13" i="48"/>
  <c r="M13" i="48" s="1"/>
  <c r="M12" i="48"/>
  <c r="K12" i="48"/>
  <c r="J12" i="48"/>
  <c r="H12" i="48"/>
  <c r="N12" i="48" s="1"/>
  <c r="H11" i="48"/>
  <c r="J11" i="48" s="1"/>
  <c r="M10" i="48"/>
  <c r="J10" i="48"/>
  <c r="H10" i="48"/>
  <c r="K10" i="48" s="1"/>
  <c r="K9" i="48"/>
  <c r="H9" i="48"/>
  <c r="M9" i="48" s="1"/>
  <c r="M8" i="48"/>
  <c r="K8" i="48"/>
  <c r="J8" i="48"/>
  <c r="H8" i="48"/>
  <c r="N8" i="48" s="1"/>
  <c r="H7" i="48"/>
  <c r="J7" i="48" s="1"/>
  <c r="M6" i="48"/>
  <c r="J6" i="48"/>
  <c r="H6" i="48"/>
  <c r="K6" i="48" s="1"/>
  <c r="N5" i="48"/>
  <c r="L5" i="48"/>
  <c r="K5" i="48"/>
  <c r="J5" i="48"/>
  <c r="H5" i="48"/>
  <c r="M5" i="48" s="1"/>
  <c r="M3" i="48"/>
  <c r="C28" i="47"/>
  <c r="B20" i="47"/>
  <c r="C16" i="47"/>
  <c r="C13" i="47"/>
  <c r="C6" i="47"/>
  <c r="C38" i="46"/>
  <c r="C37" i="46"/>
  <c r="C36" i="46"/>
  <c r="B27" i="46"/>
  <c r="B19" i="46"/>
  <c r="D18" i="46"/>
  <c r="D17" i="46"/>
  <c r="D16" i="46"/>
  <c r="C16" i="46"/>
  <c r="B15" i="46"/>
  <c r="B14" i="46"/>
  <c r="B13" i="46"/>
  <c r="D11" i="46"/>
  <c r="C9" i="46"/>
  <c r="C8" i="46"/>
  <c r="C7" i="46"/>
  <c r="C6" i="46"/>
  <c r="C5" i="46"/>
  <c r="G48" i="45"/>
  <c r="D48" i="45"/>
  <c r="G47" i="45"/>
  <c r="D47" i="45"/>
  <c r="E42" i="45"/>
  <c r="D41" i="45"/>
  <c r="D40" i="45"/>
  <c r="D39" i="45"/>
  <c r="H38" i="45"/>
  <c r="H37" i="45"/>
  <c r="C19" i="45"/>
  <c r="D17" i="45"/>
  <c r="D16" i="45"/>
  <c r="D15" i="45"/>
  <c r="D14" i="45"/>
  <c r="D13" i="45"/>
  <c r="C10" i="45"/>
  <c r="C9" i="45"/>
  <c r="C8" i="45"/>
  <c r="C7" i="45"/>
  <c r="C6" i="45"/>
  <c r="G5" i="45"/>
  <c r="C5" i="45"/>
  <c r="C27" i="44"/>
  <c r="H20" i="44"/>
  <c r="H19" i="44"/>
  <c r="H18" i="44"/>
  <c r="D56" i="44" s="1"/>
  <c r="H17" i="44"/>
  <c r="H16" i="44"/>
  <c r="H15" i="44"/>
  <c r="D49" i="44" s="1"/>
  <c r="H14" i="44"/>
  <c r="H13" i="44"/>
  <c r="H12" i="44"/>
  <c r="H11" i="44"/>
  <c r="H10" i="44"/>
  <c r="H9" i="44"/>
  <c r="H8" i="44"/>
  <c r="H7" i="44"/>
  <c r="H6" i="44"/>
  <c r="D27" i="44" s="1"/>
  <c r="H5" i="44"/>
  <c r="D52" i="43"/>
  <c r="D42" i="43"/>
  <c r="C26" i="43"/>
  <c r="H19" i="43"/>
  <c r="H18" i="43"/>
  <c r="H17" i="43"/>
  <c r="H16" i="43"/>
  <c r="H15" i="43"/>
  <c r="H14" i="43"/>
  <c r="H13" i="43"/>
  <c r="H12" i="43"/>
  <c r="D45" i="43" s="1"/>
  <c r="H11" i="43"/>
  <c r="H10" i="43"/>
  <c r="H9" i="43"/>
  <c r="H8" i="43"/>
  <c r="D59" i="43" s="1"/>
  <c r="H7" i="43"/>
  <c r="H6" i="43"/>
  <c r="H5" i="43"/>
  <c r="D26" i="43" s="1"/>
  <c r="I4" i="43"/>
  <c r="H4" i="43"/>
  <c r="D61" i="42"/>
  <c r="D53" i="42"/>
  <c r="D46" i="42"/>
  <c r="D42" i="42"/>
  <c r="D27" i="42"/>
  <c r="C27" i="42"/>
  <c r="H20" i="42"/>
  <c r="H19" i="42"/>
  <c r="H18" i="42"/>
  <c r="H17" i="42"/>
  <c r="H16" i="42"/>
  <c r="H15" i="42"/>
  <c r="H14" i="42"/>
  <c r="H13" i="42"/>
  <c r="H12" i="42"/>
  <c r="H11" i="42"/>
  <c r="H10" i="42"/>
  <c r="H9" i="42"/>
  <c r="H8" i="42"/>
  <c r="H7" i="42"/>
  <c r="H6" i="42"/>
  <c r="H5" i="42"/>
  <c r="D60" i="41"/>
  <c r="D53" i="41"/>
  <c r="D46" i="41"/>
  <c r="D42" i="41"/>
  <c r="D27" i="41"/>
  <c r="C27" i="41"/>
  <c r="H20" i="41"/>
  <c r="H19" i="41"/>
  <c r="H18" i="41"/>
  <c r="H17" i="41"/>
  <c r="H16" i="41"/>
  <c r="H15" i="41"/>
  <c r="H14" i="41"/>
  <c r="H13" i="41"/>
  <c r="H12" i="41"/>
  <c r="H11" i="41"/>
  <c r="H10" i="41"/>
  <c r="H9" i="41"/>
  <c r="H8" i="41"/>
  <c r="H7" i="41"/>
  <c r="H6" i="41"/>
  <c r="H5" i="41"/>
  <c r="D55" i="40"/>
  <c r="C55" i="40"/>
  <c r="D48" i="40"/>
  <c r="C48" i="40"/>
  <c r="D41" i="40"/>
  <c r="D37" i="40"/>
  <c r="C37" i="40"/>
  <c r="D28" i="40"/>
  <c r="C28" i="40"/>
  <c r="H21" i="40"/>
  <c r="H20" i="40"/>
  <c r="H19" i="40"/>
  <c r="H18" i="40"/>
  <c r="H17" i="40"/>
  <c r="H16" i="40"/>
  <c r="H15" i="40"/>
  <c r="H14" i="40"/>
  <c r="H13" i="40"/>
  <c r="H12" i="40"/>
  <c r="H11" i="40"/>
  <c r="H10" i="40"/>
  <c r="H9" i="40"/>
  <c r="H8" i="40"/>
  <c r="H7" i="40"/>
  <c r="H6" i="40"/>
  <c r="B42" i="39"/>
  <c r="C39" i="39"/>
  <c r="C38" i="39"/>
  <c r="C37" i="39"/>
  <c r="E35" i="39"/>
  <c r="F34" i="39"/>
  <c r="E34" i="39"/>
  <c r="J10" i="39"/>
  <c r="D10" i="39"/>
  <c r="J9" i="39"/>
  <c r="D9" i="39"/>
  <c r="J8" i="39"/>
  <c r="H8" i="39"/>
  <c r="D8" i="39"/>
  <c r="D7" i="39"/>
  <c r="D6" i="39"/>
  <c r="I5" i="39"/>
  <c r="H5" i="39"/>
  <c r="D5" i="39"/>
  <c r="M47" i="38"/>
  <c r="L47" i="38"/>
  <c r="F47" i="38"/>
  <c r="E47" i="38"/>
  <c r="M46" i="38"/>
  <c r="L46" i="38"/>
  <c r="F46" i="38"/>
  <c r="E46" i="38"/>
  <c r="M45" i="38"/>
  <c r="L45" i="38"/>
  <c r="F45" i="38"/>
  <c r="E45" i="38"/>
  <c r="M44" i="38"/>
  <c r="L44" i="38"/>
  <c r="F44" i="38"/>
  <c r="E44" i="38"/>
  <c r="M43" i="38"/>
  <c r="L43" i="38"/>
  <c r="F43" i="38"/>
  <c r="E43" i="38"/>
  <c r="M42" i="38"/>
  <c r="L42" i="38"/>
  <c r="F42" i="38"/>
  <c r="E42" i="38"/>
  <c r="M41" i="38"/>
  <c r="L41" i="38"/>
  <c r="F41" i="38"/>
  <c r="E41" i="38"/>
  <c r="M40" i="38"/>
  <c r="L40" i="38"/>
  <c r="F40" i="38"/>
  <c r="E40" i="38"/>
  <c r="M39" i="38"/>
  <c r="L39" i="38"/>
  <c r="F39" i="38"/>
  <c r="E39" i="38"/>
  <c r="M38" i="38"/>
  <c r="L38" i="38"/>
  <c r="F38" i="38"/>
  <c r="E38" i="38"/>
  <c r="M37" i="38"/>
  <c r="L37" i="38"/>
  <c r="F37" i="38"/>
  <c r="E37" i="38"/>
  <c r="M36" i="38"/>
  <c r="L36" i="38"/>
  <c r="F36" i="38"/>
  <c r="E36" i="38"/>
  <c r="M35" i="38"/>
  <c r="L35" i="38"/>
  <c r="F35" i="38"/>
  <c r="E35" i="38"/>
  <c r="M34" i="38"/>
  <c r="L34" i="38"/>
  <c r="F34" i="38"/>
  <c r="E34" i="38"/>
  <c r="M33" i="38"/>
  <c r="L33" i="38"/>
  <c r="F33" i="38"/>
  <c r="E33" i="38"/>
  <c r="M32" i="38"/>
  <c r="L32" i="38"/>
  <c r="F32" i="38"/>
  <c r="E32" i="38"/>
  <c r="M31" i="38"/>
  <c r="L31" i="38"/>
  <c r="F31" i="38"/>
  <c r="E31" i="38"/>
  <c r="M30" i="38"/>
  <c r="L30" i="38"/>
  <c r="F30" i="38"/>
  <c r="E30" i="38"/>
  <c r="M29" i="38"/>
  <c r="L29" i="38"/>
  <c r="F29" i="38"/>
  <c r="E29" i="38"/>
  <c r="M28" i="38"/>
  <c r="L28" i="38"/>
  <c r="F28" i="38"/>
  <c r="E28" i="38"/>
  <c r="M27" i="38"/>
  <c r="L27" i="38"/>
  <c r="F27" i="38"/>
  <c r="E27" i="38"/>
  <c r="M26" i="38"/>
  <c r="L26" i="38"/>
  <c r="F26" i="38"/>
  <c r="E26" i="38"/>
  <c r="M25" i="38"/>
  <c r="L25" i="38"/>
  <c r="F25" i="38"/>
  <c r="E25" i="38"/>
  <c r="M24" i="38"/>
  <c r="L24" i="38"/>
  <c r="F24" i="38"/>
  <c r="E24" i="38"/>
  <c r="M23" i="38"/>
  <c r="L23" i="38"/>
  <c r="F23" i="38"/>
  <c r="E23" i="38"/>
  <c r="M22" i="38"/>
  <c r="L22" i="38"/>
  <c r="F22" i="38"/>
  <c r="E22" i="38"/>
  <c r="M21" i="38"/>
  <c r="L21" i="38"/>
  <c r="F21" i="38"/>
  <c r="E21" i="38"/>
  <c r="M20" i="38"/>
  <c r="L20" i="38"/>
  <c r="F20" i="38"/>
  <c r="E20" i="38"/>
  <c r="M19" i="38"/>
  <c r="L19" i="38"/>
  <c r="F19" i="38"/>
  <c r="E19" i="38"/>
  <c r="M18" i="38"/>
  <c r="L18" i="38"/>
  <c r="F18" i="38"/>
  <c r="E18" i="38"/>
  <c r="M17" i="38"/>
  <c r="L17" i="38"/>
  <c r="H17" i="38"/>
  <c r="F17" i="38"/>
  <c r="E17" i="38"/>
  <c r="M16" i="38"/>
  <c r="L16" i="38"/>
  <c r="F16" i="38"/>
  <c r="E16" i="38"/>
  <c r="M15" i="38"/>
  <c r="L15" i="38"/>
  <c r="F15" i="38"/>
  <c r="E15" i="38"/>
  <c r="M14" i="38"/>
  <c r="L14" i="38"/>
  <c r="F14" i="38"/>
  <c r="E14" i="38"/>
  <c r="M13" i="38"/>
  <c r="L13" i="38"/>
  <c r="F13" i="38"/>
  <c r="E13" i="38"/>
  <c r="M12" i="38"/>
  <c r="L12" i="38"/>
  <c r="F12" i="38"/>
  <c r="E12" i="38"/>
  <c r="M11" i="38"/>
  <c r="L11" i="38"/>
  <c r="F11" i="38"/>
  <c r="E11" i="38"/>
  <c r="M10" i="38"/>
  <c r="L10" i="38"/>
  <c r="F10" i="38"/>
  <c r="E10" i="38"/>
  <c r="M9" i="38"/>
  <c r="L9" i="38"/>
  <c r="F9" i="38"/>
  <c r="E9" i="38"/>
  <c r="M8" i="38"/>
  <c r="L8" i="38"/>
  <c r="F8" i="38"/>
  <c r="E8" i="38"/>
  <c r="K7" i="38"/>
  <c r="D33" i="37"/>
  <c r="R29" i="37"/>
  <c r="J28" i="37"/>
  <c r="R27" i="37"/>
  <c r="J27" i="37"/>
  <c r="I23" i="37"/>
  <c r="H23" i="37"/>
  <c r="G23" i="37"/>
  <c r="I22" i="37"/>
  <c r="H22" i="37"/>
  <c r="G22" i="37"/>
  <c r="I21" i="37"/>
  <c r="H21" i="37"/>
  <c r="G21" i="37"/>
  <c r="I20" i="37"/>
  <c r="H20" i="37"/>
  <c r="G20" i="37"/>
  <c r="I19" i="37"/>
  <c r="H19" i="37"/>
  <c r="G19" i="37"/>
  <c r="I18" i="37"/>
  <c r="H18" i="37"/>
  <c r="G18" i="37"/>
  <c r="I17" i="37"/>
  <c r="H17" i="37"/>
  <c r="G17" i="37"/>
  <c r="I16" i="37"/>
  <c r="H16" i="37"/>
  <c r="G16" i="37"/>
  <c r="I15" i="37"/>
  <c r="H15" i="37"/>
  <c r="G15" i="37"/>
  <c r="I14" i="37"/>
  <c r="H14" i="37"/>
  <c r="G14" i="37"/>
  <c r="I13" i="37"/>
  <c r="H13" i="37"/>
  <c r="G13" i="37"/>
  <c r="I12" i="37"/>
  <c r="H12" i="37"/>
  <c r="G12" i="37"/>
  <c r="I11" i="37"/>
  <c r="H11" i="37"/>
  <c r="G11" i="37"/>
  <c r="I10" i="37"/>
  <c r="H10" i="37"/>
  <c r="G10" i="37"/>
  <c r="I9" i="37"/>
  <c r="H9" i="37"/>
  <c r="G9" i="37"/>
  <c r="I8" i="37"/>
  <c r="H8" i="37"/>
  <c r="G8" i="37"/>
  <c r="J7" i="37"/>
  <c r="I7" i="37"/>
  <c r="H7" i="37"/>
  <c r="G7" i="37"/>
  <c r="E35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C10" i="36"/>
  <c r="E4" i="36"/>
  <c r="C22" i="35"/>
  <c r="C31" i="35" s="1"/>
  <c r="G18" i="35"/>
  <c r="G16" i="35"/>
  <c r="G14" i="35"/>
  <c r="C5" i="35"/>
  <c r="C14" i="35" s="1"/>
  <c r="D48" i="33"/>
  <c r="C48" i="33"/>
  <c r="D47" i="33"/>
  <c r="C47" i="33"/>
  <c r="D46" i="33"/>
  <c r="C46" i="33"/>
  <c r="D45" i="33"/>
  <c r="C45" i="33"/>
  <c r="D44" i="33"/>
  <c r="C44" i="33"/>
  <c r="D43" i="33"/>
  <c r="C43" i="33"/>
  <c r="D42" i="33"/>
  <c r="C42" i="33"/>
  <c r="D41" i="33"/>
  <c r="C41" i="33"/>
  <c r="D40" i="33"/>
  <c r="C40" i="33"/>
  <c r="D39" i="33"/>
  <c r="C39" i="33"/>
  <c r="D38" i="33"/>
  <c r="C38" i="33"/>
  <c r="D37" i="33"/>
  <c r="C37" i="33"/>
  <c r="D36" i="33"/>
  <c r="C36" i="33"/>
  <c r="D35" i="33"/>
  <c r="C35" i="33"/>
  <c r="D34" i="33"/>
  <c r="C34" i="33"/>
  <c r="D33" i="33"/>
  <c r="C33" i="33"/>
  <c r="D32" i="33"/>
  <c r="C32" i="33"/>
  <c r="D31" i="33"/>
  <c r="C31" i="33"/>
  <c r="D30" i="33"/>
  <c r="C30" i="33"/>
  <c r="D29" i="33"/>
  <c r="C29" i="33"/>
  <c r="H18" i="32"/>
  <c r="C13" i="32"/>
  <c r="C12" i="32"/>
  <c r="C11" i="32"/>
  <c r="C10" i="32"/>
  <c r="C9" i="32"/>
  <c r="C8" i="32"/>
  <c r="C7" i="32"/>
  <c r="C6" i="32"/>
  <c r="C5" i="32"/>
  <c r="G17" i="31"/>
  <c r="F17" i="31"/>
  <c r="E17" i="31"/>
  <c r="D17" i="31"/>
  <c r="C17" i="31"/>
  <c r="B8" i="31"/>
  <c r="J11" i="30"/>
  <c r="K30" i="29"/>
  <c r="J30" i="29"/>
  <c r="I30" i="29"/>
  <c r="H30" i="29"/>
  <c r="K29" i="29"/>
  <c r="J29" i="29"/>
  <c r="I29" i="29"/>
  <c r="H29" i="29"/>
  <c r="K28" i="29"/>
  <c r="J28" i="29"/>
  <c r="I28" i="29"/>
  <c r="H28" i="29"/>
  <c r="K27" i="29"/>
  <c r="J27" i="29"/>
  <c r="I27" i="29"/>
  <c r="H27" i="29"/>
  <c r="K26" i="29"/>
  <c r="J26" i="29"/>
  <c r="I26" i="29"/>
  <c r="H26" i="29"/>
  <c r="K25" i="29"/>
  <c r="J25" i="29"/>
  <c r="I25" i="29"/>
  <c r="H25" i="29"/>
  <c r="K24" i="29"/>
  <c r="J24" i="29"/>
  <c r="I24" i="29"/>
  <c r="H24" i="29"/>
  <c r="K23" i="29"/>
  <c r="J23" i="29"/>
  <c r="I23" i="29"/>
  <c r="H23" i="29"/>
  <c r="K22" i="29"/>
  <c r="J22" i="29"/>
  <c r="I22" i="29"/>
  <c r="H22" i="29"/>
  <c r="K21" i="29"/>
  <c r="J21" i="29"/>
  <c r="I21" i="29"/>
  <c r="H21" i="29"/>
  <c r="B21" i="29"/>
  <c r="C21" i="29" s="1"/>
  <c r="D21" i="29" s="1"/>
  <c r="E21" i="29" s="1"/>
  <c r="G31" i="28" a="1"/>
  <c r="G31" i="28" s="1"/>
  <c r="I17" i="28" a="1"/>
  <c r="I17" i="28"/>
  <c r="L14" i="28" a="1"/>
  <c r="L14" i="28" s="1"/>
  <c r="G13" i="28"/>
  <c r="G11" i="28"/>
  <c r="F11" i="28"/>
  <c r="G8" i="28"/>
  <c r="I7" i="28"/>
  <c r="M5" i="28"/>
  <c r="I5" i="28"/>
  <c r="G5" i="28"/>
  <c r="G2" i="28"/>
  <c r="D21" i="27"/>
  <c r="D20" i="27"/>
  <c r="D19" i="27"/>
  <c r="D18" i="27"/>
  <c r="D17" i="27"/>
  <c r="D16" i="27"/>
  <c r="D10" i="27"/>
  <c r="D9" i="27"/>
  <c r="D8" i="27"/>
  <c r="D7" i="27"/>
  <c r="D6" i="27"/>
  <c r="D5" i="27"/>
  <c r="C22" i="26"/>
  <c r="C21" i="26"/>
  <c r="C20" i="26"/>
  <c r="C18" i="26"/>
  <c r="C17" i="26"/>
  <c r="G12" i="26"/>
  <c r="G11" i="26"/>
  <c r="G10" i="26"/>
  <c r="G9" i="26"/>
  <c r="C9" i="26"/>
  <c r="G8" i="26"/>
  <c r="C8" i="26"/>
  <c r="G7" i="26"/>
  <c r="C7" i="26"/>
  <c r="G6" i="26"/>
  <c r="C6" i="26"/>
  <c r="G5" i="26"/>
  <c r="C5" i="26"/>
  <c r="G37" i="24"/>
  <c r="A37" i="24"/>
  <c r="G36" i="24"/>
  <c r="B19" i="24"/>
  <c r="B18" i="24"/>
  <c r="E14" i="24"/>
  <c r="E13" i="24"/>
  <c r="F13" i="23"/>
  <c r="F12" i="23"/>
  <c r="F11" i="23"/>
  <c r="F10" i="23"/>
  <c r="F9" i="23"/>
  <c r="F8" i="23"/>
  <c r="F7" i="23"/>
  <c r="F6" i="23"/>
  <c r="F5" i="23"/>
  <c r="H5" i="22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 a="1"/>
  <c r="H12" i="21"/>
  <c r="H11" i="21" a="1"/>
  <c r="H11" i="21" s="1"/>
  <c r="H10" i="21" a="1"/>
  <c r="H10" i="21"/>
  <c r="H9" i="21" a="1"/>
  <c r="H9" i="21" s="1"/>
  <c r="H8" i="21" a="1"/>
  <c r="H8" i="21"/>
  <c r="H7" i="21" a="1"/>
  <c r="H7" i="21" s="1"/>
  <c r="H6" i="21" a="1"/>
  <c r="H6" i="21"/>
  <c r="H5" i="21" a="1"/>
  <c r="H5" i="21" s="1"/>
  <c r="Y14" i="20"/>
  <c r="X14" i="20"/>
  <c r="W14" i="20"/>
  <c r="V14" i="20"/>
  <c r="U14" i="20"/>
  <c r="T14" i="20"/>
  <c r="S14" i="20"/>
  <c r="R14" i="20"/>
  <c r="Q14" i="20"/>
  <c r="P14" i="20"/>
  <c r="O14" i="20"/>
  <c r="Y13" i="20"/>
  <c r="X13" i="20"/>
  <c r="W13" i="20"/>
  <c r="V13" i="20"/>
  <c r="U13" i="20"/>
  <c r="T13" i="20"/>
  <c r="S13" i="20"/>
  <c r="R13" i="20"/>
  <c r="Q13" i="20"/>
  <c r="P13" i="20"/>
  <c r="O13" i="20"/>
  <c r="Z10" i="20"/>
  <c r="Y10" i="20"/>
  <c r="X10" i="20"/>
  <c r="W10" i="20"/>
  <c r="V10" i="20"/>
  <c r="U10" i="20"/>
  <c r="T10" i="20"/>
  <c r="S10" i="20"/>
  <c r="R10" i="20"/>
  <c r="Q10" i="20"/>
  <c r="P10" i="20"/>
  <c r="Z9" i="20"/>
  <c r="Y9" i="20"/>
  <c r="X9" i="20"/>
  <c r="W9" i="20"/>
  <c r="V9" i="20"/>
  <c r="U9" i="20"/>
  <c r="T9" i="20"/>
  <c r="S9" i="20"/>
  <c r="R9" i="20"/>
  <c r="Q9" i="20"/>
  <c r="P9" i="20"/>
  <c r="X5" i="20"/>
  <c r="W5" i="20"/>
  <c r="V5" i="20"/>
  <c r="U5" i="20"/>
  <c r="T5" i="20"/>
  <c r="S5" i="20"/>
  <c r="R5" i="20"/>
  <c r="Q5" i="20"/>
  <c r="P5" i="20"/>
  <c r="O5" i="20"/>
  <c r="N5" i="20"/>
  <c r="X4" i="20"/>
  <c r="W4" i="20"/>
  <c r="V4" i="20"/>
  <c r="U4" i="20"/>
  <c r="T4" i="20"/>
  <c r="S4" i="20"/>
  <c r="R4" i="20"/>
  <c r="Q4" i="20"/>
  <c r="P4" i="20"/>
  <c r="O4" i="20"/>
  <c r="N4" i="20"/>
  <c r="C13" i="19"/>
  <c r="A13" i="19"/>
  <c r="A12" i="19"/>
  <c r="C12" i="19" s="1"/>
  <c r="C11" i="19"/>
  <c r="A11" i="19"/>
  <c r="C10" i="19" a="1"/>
  <c r="C10" i="19"/>
  <c r="C9" i="18"/>
  <c r="H16" i="12"/>
  <c r="G14" i="12"/>
  <c r="P12" i="12"/>
  <c r="B27" i="11"/>
  <c r="B26" i="11"/>
  <c r="C20" i="11"/>
  <c r="C19" i="11"/>
  <c r="C18" i="11"/>
  <c r="B34" i="10"/>
  <c r="B7" i="10"/>
  <c r="I7" i="9"/>
  <c r="H7" i="9"/>
  <c r="E15" i="8"/>
  <c r="F14" i="8"/>
  <c r="G14" i="8" s="1"/>
  <c r="E14" i="8"/>
  <c r="E13" i="8"/>
  <c r="F13" i="8" s="1"/>
  <c r="G13" i="8" s="1"/>
  <c r="E12" i="8"/>
  <c r="E11" i="8"/>
  <c r="F10" i="8"/>
  <c r="G10" i="8" s="1"/>
  <c r="E10" i="8"/>
  <c r="E9" i="8"/>
  <c r="F9" i="8" s="1"/>
  <c r="G9" i="8" s="1"/>
  <c r="E8" i="8"/>
  <c r="E7" i="8"/>
  <c r="F6" i="8"/>
  <c r="G6" i="8" s="1"/>
  <c r="E6" i="8"/>
  <c r="E15" i="7"/>
  <c r="F30" i="7" s="1"/>
  <c r="D15" i="7"/>
  <c r="C15" i="7"/>
  <c r="E14" i="7"/>
  <c r="F18" i="7" s="1"/>
  <c r="D14" i="7"/>
  <c r="C14" i="7"/>
  <c r="E13" i="7"/>
  <c r="F28" i="7" s="1"/>
  <c r="D13" i="7"/>
  <c r="C13" i="7"/>
  <c r="E12" i="7"/>
  <c r="F27" i="7" s="1"/>
  <c r="D12" i="7"/>
  <c r="C12" i="7"/>
  <c r="E11" i="7"/>
  <c r="F26" i="7" s="1"/>
  <c r="D11" i="7"/>
  <c r="C11" i="7"/>
  <c r="E10" i="7"/>
  <c r="F25" i="7" s="1"/>
  <c r="D10" i="7"/>
  <c r="C10" i="7"/>
  <c r="E9" i="7"/>
  <c r="F24" i="7" s="1"/>
  <c r="D9" i="7"/>
  <c r="C9" i="7"/>
  <c r="E8" i="7"/>
  <c r="F23" i="7" s="1"/>
  <c r="D8" i="7"/>
  <c r="C8" i="7"/>
  <c r="E7" i="7"/>
  <c r="F22" i="7" s="1"/>
  <c r="D7" i="7"/>
  <c r="C7" i="7"/>
  <c r="E6" i="7"/>
  <c r="F21" i="7" s="1"/>
  <c r="D6" i="7"/>
  <c r="C6" i="7"/>
  <c r="E5" i="7"/>
  <c r="D5" i="7"/>
  <c r="C5" i="7"/>
  <c r="A1" i="6"/>
  <c r="J15" i="5"/>
  <c r="H15" i="5"/>
  <c r="H14" i="5"/>
  <c r="J14" i="5" s="1"/>
  <c r="J13" i="5"/>
  <c r="H13" i="5"/>
  <c r="H12" i="5"/>
  <c r="J12" i="5" s="1"/>
  <c r="J11" i="5"/>
  <c r="H11" i="5"/>
  <c r="H10" i="5"/>
  <c r="J10" i="5" s="1"/>
  <c r="J9" i="5"/>
  <c r="H9" i="5"/>
  <c r="H8" i="5"/>
  <c r="J8" i="5" s="1"/>
  <c r="J7" i="5"/>
  <c r="H7" i="5"/>
  <c r="H6" i="5"/>
  <c r="J6" i="5" s="1"/>
  <c r="J5" i="5"/>
  <c r="H5" i="5"/>
  <c r="M18" i="5" s="1"/>
  <c r="G12" i="4"/>
  <c r="F12" i="4"/>
  <c r="H12" i="4" s="1"/>
  <c r="I12" i="4" s="1"/>
  <c r="E12" i="4"/>
  <c r="G11" i="4"/>
  <c r="H11" i="4" s="1"/>
  <c r="I11" i="4" s="1"/>
  <c r="F11" i="4"/>
  <c r="G10" i="4"/>
  <c r="H10" i="4" s="1"/>
  <c r="I10" i="4" s="1"/>
  <c r="F10" i="4"/>
  <c r="E10" i="4"/>
  <c r="G9" i="4"/>
  <c r="F9" i="4"/>
  <c r="E9" i="4"/>
  <c r="H9" i="4" s="1"/>
  <c r="I9" i="4" s="1"/>
  <c r="G8" i="4"/>
  <c r="F8" i="4"/>
  <c r="H8" i="4" s="1"/>
  <c r="I8" i="4" s="1"/>
  <c r="E8" i="4"/>
  <c r="G7" i="4"/>
  <c r="H7" i="4" s="1"/>
  <c r="I7" i="4" s="1"/>
  <c r="F7" i="4"/>
  <c r="E7" i="4"/>
  <c r="H6" i="4"/>
  <c r="I6" i="4" s="1"/>
  <c r="G6" i="4"/>
  <c r="F6" i="4"/>
  <c r="E6" i="4"/>
  <c r="G5" i="4"/>
  <c r="F5" i="4"/>
  <c r="E5" i="4"/>
  <c r="H5" i="4" s="1"/>
  <c r="I5" i="4" s="1"/>
  <c r="B14" i="3"/>
  <c r="A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F8" i="3"/>
  <c r="E8" i="3"/>
  <c r="G8" i="3" s="1"/>
  <c r="F7" i="3"/>
  <c r="E7" i="3"/>
  <c r="G7" i="3" s="1"/>
  <c r="G6" i="3"/>
  <c r="F6" i="3"/>
  <c r="E6" i="3"/>
  <c r="F5" i="3"/>
  <c r="E5" i="3"/>
  <c r="C21" i="3" s="1"/>
  <c r="C23" i="2"/>
  <c r="E20" i="2"/>
  <c r="E19" i="2"/>
  <c r="K18" i="2"/>
  <c r="J18" i="2"/>
  <c r="I18" i="2"/>
  <c r="E18" i="2"/>
  <c r="E17" i="2"/>
  <c r="E16" i="2"/>
  <c r="E15" i="2"/>
  <c r="C15" i="2"/>
  <c r="B15" i="2"/>
  <c r="M14" i="2"/>
  <c r="H14" i="2"/>
  <c r="E14" i="2"/>
  <c r="F14" i="2" s="1"/>
  <c r="M13" i="2"/>
  <c r="H13" i="2"/>
  <c r="E13" i="2"/>
  <c r="F13" i="2" s="1"/>
  <c r="M12" i="2"/>
  <c r="H12" i="2"/>
  <c r="E12" i="2"/>
  <c r="F12" i="2" s="1"/>
  <c r="M11" i="2"/>
  <c r="H11" i="2"/>
  <c r="E11" i="2"/>
  <c r="F11" i="2" s="1"/>
  <c r="M10" i="2"/>
  <c r="H10" i="2"/>
  <c r="E10" i="2"/>
  <c r="F10" i="2" s="1"/>
  <c r="M9" i="2"/>
  <c r="H9" i="2"/>
  <c r="E9" i="2"/>
  <c r="F9" i="2" s="1"/>
  <c r="M8" i="2"/>
  <c r="H8" i="2"/>
  <c r="E8" i="2"/>
  <c r="F8" i="2" s="1"/>
  <c r="M7" i="2"/>
  <c r="H7" i="2"/>
  <c r="E7" i="2"/>
  <c r="F7" i="2" s="1"/>
  <c r="M6" i="2"/>
  <c r="L6" i="2"/>
  <c r="K6" i="2"/>
  <c r="J6" i="2"/>
  <c r="H6" i="2"/>
  <c r="F6" i="2"/>
  <c r="E6" i="2"/>
  <c r="M5" i="2"/>
  <c r="L5" i="2"/>
  <c r="K5" i="2"/>
  <c r="J5" i="2"/>
  <c r="I5" i="2"/>
  <c r="H5" i="2"/>
  <c r="F5" i="2"/>
  <c r="E5" i="2"/>
  <c r="B27" i="1"/>
  <c r="G25" i="1"/>
  <c r="C25" i="1"/>
  <c r="B24" i="1"/>
  <c r="U14" i="1"/>
  <c r="I14" i="1"/>
  <c r="S14" i="1" s="1"/>
  <c r="H14" i="1"/>
  <c r="U13" i="1"/>
  <c r="S13" i="1"/>
  <c r="J13" i="1"/>
  <c r="I13" i="1"/>
  <c r="H13" i="1"/>
  <c r="U12" i="1"/>
  <c r="S12" i="1"/>
  <c r="I12" i="1"/>
  <c r="J12" i="1" s="1"/>
  <c r="H12" i="1"/>
  <c r="U11" i="1"/>
  <c r="I11" i="1"/>
  <c r="J11" i="1" s="1"/>
  <c r="H11" i="1"/>
  <c r="U10" i="1"/>
  <c r="I10" i="1"/>
  <c r="S10" i="1" s="1"/>
  <c r="H10" i="1"/>
  <c r="U9" i="1"/>
  <c r="S9" i="1"/>
  <c r="J9" i="1"/>
  <c r="I9" i="1"/>
  <c r="H9" i="1"/>
  <c r="U8" i="1"/>
  <c r="S8" i="1"/>
  <c r="I8" i="1"/>
  <c r="J8" i="1" s="1"/>
  <c r="H8" i="1"/>
  <c r="U7" i="1"/>
  <c r="I7" i="1"/>
  <c r="J7" i="1" s="1"/>
  <c r="H7" i="1"/>
  <c r="B25" i="1" s="1"/>
  <c r="U6" i="1"/>
  <c r="I6" i="1"/>
  <c r="C24" i="1" s="1"/>
  <c r="H6" i="1"/>
  <c r="U5" i="1"/>
  <c r="S5" i="1"/>
  <c r="J5" i="1"/>
  <c r="I5" i="1"/>
  <c r="H5" i="1"/>
  <c r="B26" i="7" l="1"/>
  <c r="F29" i="7"/>
  <c r="F19" i="7"/>
  <c r="F20" i="7"/>
  <c r="I20" i="5"/>
  <c r="F18" i="51"/>
  <c r="E23" i="51"/>
  <c r="G14" i="51"/>
  <c r="S7" i="1"/>
  <c r="S11" i="1"/>
  <c r="F7" i="8"/>
  <c r="G7" i="8" s="1"/>
  <c r="F11" i="8"/>
  <c r="G11" i="8" s="1"/>
  <c r="F15" i="8"/>
  <c r="G15" i="8" s="1"/>
  <c r="D38" i="44"/>
  <c r="K7" i="48"/>
  <c r="N9" i="48"/>
  <c r="K11" i="48"/>
  <c r="N13" i="48"/>
  <c r="K15" i="48"/>
  <c r="G5" i="3"/>
  <c r="G20" i="5"/>
  <c r="F8" i="8"/>
  <c r="G8" i="8" s="1"/>
  <c r="F12" i="8"/>
  <c r="G12" i="8" s="1"/>
  <c r="C17" i="35"/>
  <c r="D41" i="43"/>
  <c r="D42" i="44"/>
  <c r="N6" i="48"/>
  <c r="M7" i="48"/>
  <c r="J9" i="48"/>
  <c r="N10" i="48"/>
  <c r="M11" i="48"/>
  <c r="J13" i="48"/>
  <c r="N14" i="48"/>
  <c r="M15" i="48"/>
  <c r="G5" i="51"/>
  <c r="H19" i="51"/>
  <c r="I21" i="51"/>
  <c r="N7" i="48"/>
  <c r="N11" i="48"/>
  <c r="N15" i="48"/>
  <c r="I19" i="51"/>
  <c r="K21" i="51"/>
  <c r="J6" i="1"/>
  <c r="J10" i="1"/>
  <c r="J14" i="1"/>
  <c r="B20" i="1" s="1"/>
  <c r="S6" i="1"/>
  <c r="K19" i="5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<sst xmlns="http://schemas.openxmlformats.org/spreadsheetml/2006/main" count="3003" uniqueCount="1232">
  <si>
    <t xml:space="preserve">Use of Formulas Sum, Average, If, Count, Counta, Countif &amp; Sumif </t>
  </si>
  <si>
    <t>Roll No</t>
  </si>
  <si>
    <t>Student Name</t>
  </si>
  <si>
    <t>Hindi</t>
  </si>
  <si>
    <t>English</t>
  </si>
  <si>
    <t>Math</t>
  </si>
  <si>
    <t>Physics</t>
  </si>
  <si>
    <t>Chemistry</t>
  </si>
  <si>
    <t>Total</t>
  </si>
  <si>
    <t>Average</t>
  </si>
  <si>
    <t xml:space="preserve">Grade </t>
  </si>
  <si>
    <t xml:space="preserve"> </t>
  </si>
  <si>
    <t xml:space="preserve">RAM </t>
  </si>
  <si>
    <t>ASHOK</t>
  </si>
  <si>
    <t>SUM of Total</t>
  </si>
  <si>
    <t>SUM of Average</t>
  </si>
  <si>
    <t xml:space="preserve">COUNTA of Grade </t>
  </si>
  <si>
    <t>MANOJ</t>
  </si>
  <si>
    <t>ANIL</t>
  </si>
  <si>
    <t>RAJESH</t>
  </si>
  <si>
    <t xml:space="preserve">RANJANA </t>
  </si>
  <si>
    <t>ASHUTOSH</t>
  </si>
  <si>
    <t>POOJA</t>
  </si>
  <si>
    <t>MAHESH</t>
  </si>
  <si>
    <t>PREM</t>
  </si>
  <si>
    <t>Q.1 Find the Total Number &amp; Average in all Subjects in Each Student .</t>
  </si>
  <si>
    <t>SDADAS</t>
  </si>
  <si>
    <t xml:space="preserve">Q.2 Find Grade Using If Function - If Average Greater  &gt;15 then "A" Grade otherwise "B" Grade </t>
  </si>
  <si>
    <t>Grand Total</t>
  </si>
  <si>
    <t xml:space="preserve">Q.3 How Many Student "A" and "B" Grade </t>
  </si>
  <si>
    <t>Use of Countif</t>
  </si>
  <si>
    <t>A</t>
  </si>
  <si>
    <t>B</t>
  </si>
  <si>
    <t xml:space="preserve">Q.4 Student Ashok and Manoj Total Number and Average </t>
  </si>
  <si>
    <t>Use of Sumif</t>
  </si>
  <si>
    <t>Totaal No.</t>
  </si>
  <si>
    <t>Ashok</t>
  </si>
  <si>
    <t>Manoj</t>
  </si>
  <si>
    <t xml:space="preserve">Q.5 Count how many Students </t>
  </si>
  <si>
    <t>Use of Counta</t>
  </si>
  <si>
    <t>)</t>
  </si>
  <si>
    <t xml:space="preserve">Q.6 How Many Student Hindi &amp; English Subject Number Grater Then &gt; 20 and &lt;15 </t>
  </si>
  <si>
    <t>&gt;20</t>
  </si>
  <si>
    <t>&lt;20</t>
  </si>
  <si>
    <t xml:space="preserve">Assignment -2 </t>
  </si>
  <si>
    <t>Use of Formulas - Product, If, Counta, Countif, Sumif</t>
  </si>
  <si>
    <t>SRNO</t>
  </si>
  <si>
    <t>ITEMS</t>
  </si>
  <si>
    <t>QTY</t>
  </si>
  <si>
    <t>RATE</t>
  </si>
  <si>
    <t>AMOUNT</t>
  </si>
  <si>
    <t>GRADE</t>
  </si>
  <si>
    <t>AC</t>
  </si>
  <si>
    <t>FRIDGE</t>
  </si>
  <si>
    <t>COOLER</t>
  </si>
  <si>
    <t>WASHING MACHINE</t>
  </si>
  <si>
    <t>TV</t>
  </si>
  <si>
    <t>COMPUTER</t>
  </si>
  <si>
    <t>KEYBOARD</t>
  </si>
  <si>
    <t>MOUSE</t>
  </si>
  <si>
    <t>PRINTER</t>
  </si>
  <si>
    <t xml:space="preserve">Q.1 Using of Product Fomula for Calculate Amount = Qty*Rate </t>
  </si>
  <si>
    <t xml:space="preserve">Q.2 How Many Items in a List </t>
  </si>
  <si>
    <t>Product</t>
  </si>
  <si>
    <t>qty</t>
  </si>
  <si>
    <t>Rate</t>
  </si>
  <si>
    <t>Amout</t>
  </si>
  <si>
    <t xml:space="preserve">Q.3 How Many Items qty Greate Then &gt; 20 and Less Then &lt;20 </t>
  </si>
  <si>
    <t>Computer</t>
  </si>
  <si>
    <t xml:space="preserve">Q.4 Calculate Item Computer Qty, Rate and Amount using Sumif Formula </t>
  </si>
  <si>
    <t xml:space="preserve">Q.5 If Items Amount is Greater &gt; 500000, Then Items "Expensive" otherwise "Lets Buy it". </t>
  </si>
  <si>
    <t>rate</t>
  </si>
  <si>
    <t>amount</t>
  </si>
  <si>
    <t>computer</t>
  </si>
  <si>
    <t xml:space="preserve">Assignment -3 </t>
  </si>
  <si>
    <t>Use of Formulas - Sum, NestedIf, Counta, Countif, Sumif, Vlookup</t>
  </si>
  <si>
    <t>SUBJECT</t>
  </si>
  <si>
    <t>1ST</t>
  </si>
  <si>
    <t>2ND</t>
  </si>
  <si>
    <t>3RD</t>
  </si>
  <si>
    <t>TOTAL</t>
  </si>
  <si>
    <t xml:space="preserve">AVERAGE </t>
  </si>
  <si>
    <t>HINDI</t>
  </si>
  <si>
    <t>ENGLISH</t>
  </si>
  <si>
    <t>PHYSICS</t>
  </si>
  <si>
    <t>MATH</t>
  </si>
  <si>
    <t>CHEMISTRY</t>
  </si>
  <si>
    <t>HISTORY</t>
  </si>
  <si>
    <t>GEO</t>
  </si>
  <si>
    <t>BIO</t>
  </si>
  <si>
    <t xml:space="preserve">BOTANY </t>
  </si>
  <si>
    <t xml:space="preserve">Q.1 HOW MANY SUBJECT ? </t>
  </si>
  <si>
    <t xml:space="preserve">Q.2 HOW MANY SUBJECT 1 PAPER GREATER THAN 20 ? </t>
  </si>
  <si>
    <t xml:space="preserve">Q.3 SUBJECT HINDI, MATH &amp; ENGLISH TOTAL NO. &amp; GRADE </t>
  </si>
  <si>
    <t>Use of Vlookup</t>
  </si>
  <si>
    <t>Q.4 IF AVE. GREATHER THAN 20 THEN "A", IF AVE. GREATEHR THAN 15 AVE. "B" OTHERWISE "C"</t>
  </si>
  <si>
    <t xml:space="preserve">Q.5 SUBJECT PHYSICS, MATHS &amp; ENGLISH TOTAL /AVERAGE </t>
  </si>
  <si>
    <t>total</t>
  </si>
  <si>
    <t>hindi</t>
  </si>
  <si>
    <t>Assignment -4  (Salary Sheet)</t>
  </si>
  <si>
    <t>NAME</t>
  </si>
  <si>
    <t>DEPARTMENT</t>
  </si>
  <si>
    <t>POST</t>
  </si>
  <si>
    <t xml:space="preserve">BASIC </t>
  </si>
  <si>
    <t>DA 2.5%</t>
  </si>
  <si>
    <t>RAM</t>
  </si>
  <si>
    <t>MANAGER</t>
  </si>
  <si>
    <t>SHYAM</t>
  </si>
  <si>
    <t>SUPERVISOR</t>
  </si>
  <si>
    <t>PION</t>
  </si>
  <si>
    <t>ELECTRICAL</t>
  </si>
  <si>
    <t>GUARD</t>
  </si>
  <si>
    <t>RAHUL</t>
  </si>
  <si>
    <t>CASHER</t>
  </si>
  <si>
    <t>RAKESH</t>
  </si>
  <si>
    <t>ACCOUNTANT</t>
  </si>
  <si>
    <t>ASHISH</t>
  </si>
  <si>
    <t>FINANCE</t>
  </si>
  <si>
    <t xml:space="preserve">MANISH </t>
  </si>
  <si>
    <t xml:space="preserve">Q.1 HOW MANY EMPLOYEE IN COMPUTER, FINANCE, ELECTRICAL DEPARTMENT </t>
  </si>
  <si>
    <t xml:space="preserve">Q.2 HOW MANY BASIC SALARY IN COMPUTER DFPARTMENT ONLY? </t>
  </si>
  <si>
    <t>Q.3 MANOJ, ASHISH POST &amp; GRADE</t>
  </si>
  <si>
    <t>Q.4 IF TOTAL SALALRY IS GREATER THEN 20000 THEN "A", IF TOTAL SALARY GREATER THEN 10000 THEN "B", OTHERWISE "C"</t>
  </si>
  <si>
    <t xml:space="preserve">Q.5 HOW MANY EMPLOYEE IS MANAGER &amp; GUARD? </t>
  </si>
  <si>
    <t>Assignment -5  (Sales Report)</t>
  </si>
  <si>
    <t>Use of Formulas - Sum, If, Counta, Countif, Sumif, Vlookup, Lookup</t>
  </si>
  <si>
    <t>SALESMAN</t>
  </si>
  <si>
    <t xml:space="preserve">JAN </t>
  </si>
  <si>
    <t>FEB</t>
  </si>
  <si>
    <t>MAR</t>
  </si>
  <si>
    <t>APR</t>
  </si>
  <si>
    <t>MAY</t>
  </si>
  <si>
    <t>JUNE</t>
  </si>
  <si>
    <t>SALES</t>
  </si>
  <si>
    <t>TARGET</t>
  </si>
  <si>
    <t>result</t>
  </si>
  <si>
    <t>RAMESH</t>
  </si>
  <si>
    <t>AJEET</t>
  </si>
  <si>
    <t>ALOK</t>
  </si>
  <si>
    <t>AMRIT</t>
  </si>
  <si>
    <t>SURENDRA</t>
  </si>
  <si>
    <t>SHASHI</t>
  </si>
  <si>
    <t>Q.1 How many salesman? Salesman Ajeet Targest &amp; Result?</t>
  </si>
  <si>
    <t>Use of Counta and Vlookup</t>
  </si>
  <si>
    <t>Q.2 If Sales Greater Than Target Then Target Achived otherwise Not Achived</t>
  </si>
  <si>
    <t>Use of If Function</t>
  </si>
  <si>
    <t>Q.3 Rahul Pooja &amp; Ashok Targest &amp; result?</t>
  </si>
  <si>
    <t>Q.4 How Many Salesman Achived Target.</t>
  </si>
  <si>
    <t>Q.5 Which Sales Man Jan Sales 2000, &amp; Feb Sales is 2500?</t>
  </si>
  <si>
    <t>Use of Lookup Function</t>
  </si>
  <si>
    <t>Use of Formulas -  Counta, Countif, Sumif, Hlookup, Conditional Formatting</t>
  </si>
  <si>
    <t>Items</t>
  </si>
  <si>
    <t>Date</t>
  </si>
  <si>
    <t>Cost</t>
  </si>
  <si>
    <t>BRAKES</t>
  </si>
  <si>
    <t>TYRES</t>
  </si>
  <si>
    <t>SERVICE</t>
  </si>
  <si>
    <t>WINDOW</t>
  </si>
  <si>
    <t>CLUTCH</t>
  </si>
  <si>
    <t>Q.1 HOW MANY ITEMS ?</t>
  </si>
  <si>
    <t>Q.2 HOW MANY BRAKE, WINDOW &amp; TYRES HAVE BEEN BOUGHTS?</t>
  </si>
  <si>
    <t>Q.3 HOW MANY ITEMS COST IS &gt;1000 &amp; BELOW &gt; = 1000?</t>
  </si>
  <si>
    <t>Q.4 HIGHLIGHT TYRES ITESM &amp; 500 BETWEEN 2000 COST.</t>
  </si>
  <si>
    <t>Use of Conditional F</t>
  </si>
  <si>
    <t>Q.5 ITEMS COLOUMN IS 15, 18 &amp; 20 ITEMS NAME?</t>
  </si>
  <si>
    <t>Use of Hlookup</t>
  </si>
  <si>
    <t xml:space="preserve">Q.6 Total Cost of Window and Brakes Items? </t>
  </si>
  <si>
    <t>Assignment -7  (Calculate Date of Birth)</t>
  </si>
  <si>
    <t>Use of Formulas -  Counta, Countif, Sumif, if &amp; Datedif</t>
  </si>
  <si>
    <t>Name</t>
  </si>
  <si>
    <t>DATE OF BIRTH</t>
  </si>
  <si>
    <t xml:space="preserve">DAY </t>
  </si>
  <si>
    <t>MONTH</t>
  </si>
  <si>
    <t>YEAR</t>
  </si>
  <si>
    <t>D</t>
  </si>
  <si>
    <t>Q.1 HOW MANY STUDENT?</t>
  </si>
  <si>
    <t xml:space="preserve">Q.2 STUDENT SURENDRA IS HOW MANY YEAR OLD? </t>
  </si>
  <si>
    <t>Q.3 HOW MANY STUDENT AGE GREATER THEN 20 YEARS?</t>
  </si>
  <si>
    <t>Q.4 IF STUDENT AGE IS GREATHER THEN 20 THEN STUDENT ADULT / CHILD?</t>
  </si>
  <si>
    <t>Q.5 HOW MANY STUDENT AGE IS &gt;= 25 YEARS?</t>
  </si>
  <si>
    <t xml:space="preserve">Assignment -8  </t>
  </si>
  <si>
    <t>Use of Formulas -  Sum, Average, Counta, Countif, Sumif, &amp; If</t>
  </si>
  <si>
    <t xml:space="preserve">Student Name </t>
  </si>
  <si>
    <t>Subject</t>
  </si>
  <si>
    <t>Result</t>
  </si>
  <si>
    <t>Maths</t>
  </si>
  <si>
    <t>PERCENTAGE</t>
  </si>
  <si>
    <t>Alan</t>
  </si>
  <si>
    <t>Bob</t>
  </si>
  <si>
    <t>Carol</t>
  </si>
  <si>
    <t>oor</t>
  </si>
  <si>
    <t>David</t>
  </si>
  <si>
    <t>Eric</t>
  </si>
  <si>
    <t>Absent</t>
  </si>
  <si>
    <t>Fred</t>
  </si>
  <si>
    <t>Gail</t>
  </si>
  <si>
    <t>Harry</t>
  </si>
  <si>
    <t>Ian</t>
  </si>
  <si>
    <t>Janice</t>
  </si>
  <si>
    <t xml:space="preserve">Q.1 How Many Student? </t>
  </si>
  <si>
    <t xml:space="preserve">Use Formula Counta </t>
  </si>
  <si>
    <t>Q.2 How Many Student Percentage Greather Then &gt; 50</t>
  </si>
  <si>
    <t>Use Formula Countif</t>
  </si>
  <si>
    <t xml:space="preserve">Q.3 Student Bob and Eric Total Number? </t>
  </si>
  <si>
    <t>Use Formula Sumif</t>
  </si>
  <si>
    <t>Q.4 If Percentage Greater Then &gt;70 Then "Excellent", If Percentage Greater Then &gt;50,"Good", Otherwise "Bed"</t>
  </si>
  <si>
    <t xml:space="preserve">Q.5 How Many Student Good and Bed in a list </t>
  </si>
  <si>
    <t xml:space="preserve">Assignment -9  </t>
  </si>
  <si>
    <t>Use of Formulas -  LOOKUP</t>
  </si>
  <si>
    <t xml:space="preserve">LOOKUP FUNCTION SYNTAX </t>
  </si>
  <si>
    <t>LOOKUP(LOOKUP_value,lookup_vector,[result_vector])</t>
  </si>
  <si>
    <t>Empoyee ID</t>
  </si>
  <si>
    <t>Last Name</t>
  </si>
  <si>
    <t>First Name</t>
  </si>
  <si>
    <t>Pay</t>
  </si>
  <si>
    <t>First N.</t>
  </si>
  <si>
    <t>Last N.</t>
  </si>
  <si>
    <t>Doe</t>
  </si>
  <si>
    <t>John</t>
  </si>
  <si>
    <t>Cline</t>
  </si>
  <si>
    <t>Andy</t>
  </si>
  <si>
    <t>Smith</t>
  </si>
  <si>
    <t>Pan</t>
  </si>
  <si>
    <t>Peter</t>
  </si>
  <si>
    <t>Favre</t>
  </si>
  <si>
    <t>Bret</t>
  </si>
  <si>
    <t>Elway</t>
  </si>
  <si>
    <t>Manning</t>
  </si>
  <si>
    <t>Eli</t>
  </si>
  <si>
    <t>Vick</t>
  </si>
  <si>
    <t>Micheal</t>
  </si>
  <si>
    <t>Woods</t>
  </si>
  <si>
    <t>Tiger</t>
  </si>
  <si>
    <t>Jordan</t>
  </si>
  <si>
    <t>Stark</t>
  </si>
  <si>
    <t>Tony</t>
  </si>
  <si>
    <t>Williams</t>
  </si>
  <si>
    <t>Prince</t>
  </si>
  <si>
    <t>Pitt</t>
  </si>
  <si>
    <t>Brad</t>
  </si>
  <si>
    <t>aa</t>
  </si>
  <si>
    <t>Use of Formulas -  Counta, Countif, Sumif, &amp; Vlookup</t>
  </si>
  <si>
    <t>Assignment -10</t>
  </si>
  <si>
    <t>Employee ID</t>
  </si>
  <si>
    <t>Full Name</t>
  </si>
  <si>
    <t>SSN</t>
  </si>
  <si>
    <t>Department</t>
  </si>
  <si>
    <t>Start Date</t>
  </si>
  <si>
    <t>Earnings</t>
  </si>
  <si>
    <t>EMP008</t>
  </si>
  <si>
    <t>EMP002</t>
  </si>
  <si>
    <t>EMP003</t>
  </si>
  <si>
    <t>EMP001</t>
  </si>
  <si>
    <t>Faith K. Macias</t>
  </si>
  <si>
    <t>Marketing</t>
  </si>
  <si>
    <t>Lucian Q. Franklin</t>
  </si>
  <si>
    <t>IT/IS</t>
  </si>
  <si>
    <t>Blaze V. Bridges</t>
  </si>
  <si>
    <t>EMP004</t>
  </si>
  <si>
    <t>Denton Q. Dale</t>
  </si>
  <si>
    <t>EMP005</t>
  </si>
  <si>
    <t>Blossom K. Fox</t>
  </si>
  <si>
    <t>Engineering</t>
  </si>
  <si>
    <t>EMP006</t>
  </si>
  <si>
    <t>Kerry V. David</t>
  </si>
  <si>
    <t>Finance</t>
  </si>
  <si>
    <t>EMP007</t>
  </si>
  <si>
    <t>Melanie X. Baker</t>
  </si>
  <si>
    <t>Adele M. Fulton</t>
  </si>
  <si>
    <t>EMP009</t>
  </si>
  <si>
    <t>Justina O. Jensen</t>
  </si>
  <si>
    <t>EMP010</t>
  </si>
  <si>
    <t>Yoshi J. England</t>
  </si>
  <si>
    <t>EMP011</t>
  </si>
  <si>
    <t>Brooke Y. Mccarty</t>
  </si>
  <si>
    <t>EMP012</t>
  </si>
  <si>
    <t>Kay G. Colon</t>
  </si>
  <si>
    <t>EMP013</t>
  </si>
  <si>
    <t>Callie I. Forbes</t>
  </si>
  <si>
    <t>Human Resources</t>
  </si>
  <si>
    <t>EMP014</t>
  </si>
  <si>
    <t>Zachery O. Mann</t>
  </si>
  <si>
    <t xml:space="preserve">Q.1 How Many Employee in a List ? </t>
  </si>
  <si>
    <t>Use of Formula Counta</t>
  </si>
  <si>
    <t xml:space="preserve">Q.2 How Many Employee work in Finance and Marketing Department? </t>
  </si>
  <si>
    <t>Use of Formula Countif</t>
  </si>
  <si>
    <t xml:space="preserve">Q.3 Employee Blossom K. Fox Department and Earnings? </t>
  </si>
  <si>
    <t xml:space="preserve">Q.4 Employee Blossom K. SSN No.? </t>
  </si>
  <si>
    <t xml:space="preserve">Q.5 How Many Amount Earnings Marketing Department? </t>
  </si>
  <si>
    <t>Assignment -11</t>
  </si>
  <si>
    <t>Use of Formulas -  Match and Vlookup With Match</t>
  </si>
  <si>
    <t>CLASSIC FAVORITES</t>
  </si>
  <si>
    <t>TALL</t>
  </si>
  <si>
    <t>GRANDE</t>
  </si>
  <si>
    <t>VENTI</t>
  </si>
  <si>
    <t>Caffe Latte</t>
  </si>
  <si>
    <t>Cappuccino</t>
  </si>
  <si>
    <t>Caramel Macchiato</t>
  </si>
  <si>
    <t>Caffe Mocha</t>
  </si>
  <si>
    <t>White Chocolate Mocha</t>
  </si>
  <si>
    <t>Caffe Americano</t>
  </si>
  <si>
    <t>Cinnamon Dolce Latte</t>
  </si>
  <si>
    <t>Steamer</t>
  </si>
  <si>
    <t>Drip Coffee</t>
  </si>
  <si>
    <t>Question: What is the column number for the size Grande,Tall, Venti?</t>
  </si>
  <si>
    <t xml:space="preserve">Use of Match Formula </t>
  </si>
  <si>
    <t>Grande</t>
  </si>
  <si>
    <t>Use of Match Function</t>
  </si>
  <si>
    <t>Question: What is the price of a Caffe Mocha, size Grande,Tall, Venti?</t>
  </si>
  <si>
    <t xml:space="preserve">Use of Vlookup with Match Formula </t>
  </si>
  <si>
    <t>Assignment -12</t>
  </si>
  <si>
    <t xml:space="preserve">Use of Formulas -  Counta and Vlookup </t>
  </si>
  <si>
    <t xml:space="preserve">Q.1 How Many Fruits? </t>
  </si>
  <si>
    <t xml:space="preserve">Q.2 Fruits Lemons and Pineapples sales in Mar and Jul ? </t>
  </si>
  <si>
    <t>Mar</t>
  </si>
  <si>
    <t>Jul</t>
  </si>
  <si>
    <t>Lemons</t>
  </si>
  <si>
    <t>Pineapple</t>
  </si>
  <si>
    <t>Assignment -13</t>
  </si>
  <si>
    <t>Create Pivot Table Using Data</t>
  </si>
  <si>
    <t>Sales</t>
  </si>
  <si>
    <t>Country</t>
  </si>
  <si>
    <t>Quarter</t>
  </si>
  <si>
    <t>UK</t>
  </si>
  <si>
    <t>Qtr 3</t>
  </si>
  <si>
    <t>Johnson</t>
  </si>
  <si>
    <t>USA</t>
  </si>
  <si>
    <t>Qtr 4</t>
  </si>
  <si>
    <t>Qtr 2</t>
  </si>
  <si>
    <t>Jones</t>
  </si>
  <si>
    <t>Brown</t>
  </si>
  <si>
    <t>Qtr 1</t>
  </si>
  <si>
    <t>Assignment -14</t>
  </si>
  <si>
    <t>Use of Formulas -  Countif, Countifs and Sumifs</t>
  </si>
  <si>
    <t>Season</t>
  </si>
  <si>
    <t>Year</t>
  </si>
  <si>
    <t>Type</t>
  </si>
  <si>
    <t>State</t>
  </si>
  <si>
    <t>Sales $</t>
  </si>
  <si>
    <t>Fall</t>
  </si>
  <si>
    <t>Amber Ale</t>
  </si>
  <si>
    <t>California</t>
  </si>
  <si>
    <t>Hefeweizen</t>
  </si>
  <si>
    <t>Pale Ale</t>
  </si>
  <si>
    <t>Pilsner</t>
  </si>
  <si>
    <t>Porter</t>
  </si>
  <si>
    <t>Stout</t>
  </si>
  <si>
    <t>Oregon</t>
  </si>
  <si>
    <t>Spring</t>
  </si>
  <si>
    <t>Washington</t>
  </si>
  <si>
    <t>Using Formula Countif</t>
  </si>
  <si>
    <t xml:space="preserve">Q.2 How Many Fall Season in California and Washington? </t>
  </si>
  <si>
    <t>Using Formula Countifs</t>
  </si>
  <si>
    <t xml:space="preserve">Q.3 Total Sales if Spring Season in Washngton and California? </t>
  </si>
  <si>
    <t>using Formula Sumifs</t>
  </si>
  <si>
    <t xml:space="preserve">Q.4 How Many Spring Season in Washington only? </t>
  </si>
  <si>
    <t xml:space="preserve">Q.5 Create Pivot Table Using Data? </t>
  </si>
  <si>
    <t>Assignment -15</t>
  </si>
  <si>
    <t xml:space="preserve">Create Pivot Table Using Data Separate Fruit and Vegetables </t>
  </si>
  <si>
    <t>Order ID</t>
  </si>
  <si>
    <t>Category</t>
  </si>
  <si>
    <t>Amount</t>
  </si>
  <si>
    <t>Carrots</t>
  </si>
  <si>
    <t>Vegetables</t>
  </si>
  <si>
    <t>United States</t>
  </si>
  <si>
    <t>Broccoli</t>
  </si>
  <si>
    <t>United Kingdom</t>
  </si>
  <si>
    <t>Banana</t>
  </si>
  <si>
    <t>Fruit</t>
  </si>
  <si>
    <t>Canada</t>
  </si>
  <si>
    <t>Beans</t>
  </si>
  <si>
    <t>Germany</t>
  </si>
  <si>
    <t>Orange</t>
  </si>
  <si>
    <t>Australia</t>
  </si>
  <si>
    <t>New Zealand</t>
  </si>
  <si>
    <t>Apple</t>
  </si>
  <si>
    <t>France</t>
  </si>
  <si>
    <t>Mango</t>
  </si>
  <si>
    <t xml:space="preserve">Q.1 How Many Fruits and Vegetables Items in a List? </t>
  </si>
  <si>
    <t xml:space="preserve">Q.2 Total Apple and Banana Amount? </t>
  </si>
  <si>
    <t>Use of Formula Sumif</t>
  </si>
  <si>
    <t>Q.3 How Many Product in a list?</t>
  </si>
  <si>
    <t xml:space="preserve">Q.4 How Many Apple and Banana Use in Canada &amp; United Kingdom? </t>
  </si>
  <si>
    <t>Use of Countifs</t>
  </si>
  <si>
    <t xml:space="preserve">Q.5 Apple and Banana Sales in United States ? </t>
  </si>
  <si>
    <t>Use of Sumifs</t>
  </si>
  <si>
    <t>Assignment -16</t>
  </si>
  <si>
    <t>Use of Formulas -  Countif, Countifs and Sumifs and Vlookup</t>
  </si>
  <si>
    <t>Gender</t>
  </si>
  <si>
    <t>Score</t>
  </si>
  <si>
    <t>Richard</t>
  </si>
  <si>
    <t>Male</t>
  </si>
  <si>
    <t>Jennifer</t>
  </si>
  <si>
    <t>Female</t>
  </si>
  <si>
    <t>James</t>
  </si>
  <si>
    <t>Lisa</t>
  </si>
  <si>
    <t>Sharon</t>
  </si>
  <si>
    <t>Elizabeth</t>
  </si>
  <si>
    <t>Mark</t>
  </si>
  <si>
    <t>Susan</t>
  </si>
  <si>
    <t xml:space="preserve">Q.1 How Many Male and Female Candidate in a List? </t>
  </si>
  <si>
    <t xml:space="preserve">Q.2 How Many Male Employee in United States? </t>
  </si>
  <si>
    <t>Use of Formula Countifs</t>
  </si>
  <si>
    <t xml:space="preserve">Q.3 Lisa and John Which Country Belong? </t>
  </si>
  <si>
    <t xml:space="preserve">Q.4 United States Male and Female Candidate Scores?  </t>
  </si>
  <si>
    <t>Use if Formula Sumifs</t>
  </si>
  <si>
    <t xml:space="preserve">Q.5 How Many Male Candidate Belong Country United State Total Score? </t>
  </si>
  <si>
    <t>Use of Formula Sumifs</t>
  </si>
  <si>
    <t>Assignment -17</t>
  </si>
  <si>
    <t>Use of Formulas - Vlookup</t>
  </si>
  <si>
    <t>ID</t>
  </si>
  <si>
    <t>Brand</t>
  </si>
  <si>
    <t xml:space="preserve">Brand </t>
  </si>
  <si>
    <t xml:space="preserve">Product </t>
  </si>
  <si>
    <t>Dell</t>
  </si>
  <si>
    <t>Logitech</t>
  </si>
  <si>
    <t>Keyboard</t>
  </si>
  <si>
    <t>Mouse</t>
  </si>
  <si>
    <t>HP</t>
  </si>
  <si>
    <t>Printer</t>
  </si>
  <si>
    <t>Use of Vlookup Function ?</t>
  </si>
  <si>
    <t>Use of Formulas - Hlookup</t>
  </si>
  <si>
    <t>Assignment -19</t>
  </si>
  <si>
    <t>Use of Formulas - Index with Match</t>
  </si>
  <si>
    <t>Region</t>
  </si>
  <si>
    <t>Jan</t>
  </si>
  <si>
    <t>Feb</t>
  </si>
  <si>
    <t>North</t>
  </si>
  <si>
    <t>South</t>
  </si>
  <si>
    <t>East</t>
  </si>
  <si>
    <t>West</t>
  </si>
  <si>
    <t>Assignment -20</t>
  </si>
  <si>
    <t xml:space="preserve">Use of Advance Filter </t>
  </si>
  <si>
    <t>Order Id</t>
  </si>
  <si>
    <t>Order Date</t>
  </si>
  <si>
    <t>Employee Name</t>
  </si>
  <si>
    <t>Reporting Manager</t>
  </si>
  <si>
    <t>Customer Name</t>
  </si>
  <si>
    <t>Customer Contact</t>
  </si>
  <si>
    <t>Customer Email</t>
  </si>
  <si>
    <t>Product Name</t>
  </si>
  <si>
    <t>Product Price</t>
  </si>
  <si>
    <t>Product Qty</t>
  </si>
  <si>
    <t>Order Total</t>
  </si>
  <si>
    <t>Chloe Jones</t>
  </si>
  <si>
    <t>Abhay Gaurav</t>
  </si>
  <si>
    <t>Aakash Harit</t>
  </si>
  <si>
    <t>919-555-8658</t>
  </si>
  <si>
    <t>lo@email.com</t>
  </si>
  <si>
    <t>Nisha Kumari</t>
  </si>
  <si>
    <t>Brett Newkirk</t>
  </si>
  <si>
    <t>919-555-7653</t>
  </si>
  <si>
    <t>newkb@email.com</t>
  </si>
  <si>
    <t>Tracey Beckham</t>
  </si>
  <si>
    <t>919-555-2314</t>
  </si>
  <si>
    <t>beck@email.com</t>
  </si>
  <si>
    <t>Nishu Kumari</t>
  </si>
  <si>
    <t>Lucinda George</t>
  </si>
  <si>
    <t>919-555-4534</t>
  </si>
  <si>
    <t>lugeo@email.com</t>
  </si>
  <si>
    <t>Jerrod Smith</t>
  </si>
  <si>
    <t>919-555-4564</t>
  </si>
  <si>
    <t>texj@email.com</t>
  </si>
  <si>
    <t>Grapes</t>
  </si>
  <si>
    <t>Vishal Kumar</t>
  </si>
  <si>
    <t>Divya Sharma</t>
  </si>
  <si>
    <t>Assignment -21</t>
  </si>
  <si>
    <t>Use of Formulas - Index + Match</t>
  </si>
  <si>
    <t>Emp Name</t>
  </si>
  <si>
    <t>Salary</t>
  </si>
  <si>
    <t>Emp ID</t>
  </si>
  <si>
    <t>Raju</t>
  </si>
  <si>
    <t>Prd001</t>
  </si>
  <si>
    <t>Ramesh</t>
  </si>
  <si>
    <t>Operations</t>
  </si>
  <si>
    <t>Prd002</t>
  </si>
  <si>
    <t>Ramila</t>
  </si>
  <si>
    <t>Prd003</t>
  </si>
  <si>
    <t>Rajeshwari</t>
  </si>
  <si>
    <t>HR</t>
  </si>
  <si>
    <t>Prd004</t>
  </si>
  <si>
    <t>Karan</t>
  </si>
  <si>
    <t>Prd005</t>
  </si>
  <si>
    <t>Rohith</t>
  </si>
  <si>
    <t>IT</t>
  </si>
  <si>
    <t>Prd006</t>
  </si>
  <si>
    <t>Jacob</t>
  </si>
  <si>
    <t>Prd007</t>
  </si>
  <si>
    <t>Fleming</t>
  </si>
  <si>
    <t>Prd008</t>
  </si>
  <si>
    <t>Navya</t>
  </si>
  <si>
    <t>Prd009</t>
  </si>
  <si>
    <t>Kavya</t>
  </si>
  <si>
    <t>Prd010</t>
  </si>
  <si>
    <t>Santosh</t>
  </si>
  <si>
    <t>Prd011</t>
  </si>
  <si>
    <t>Shankar</t>
  </si>
  <si>
    <t>Prd012</t>
  </si>
  <si>
    <t>Rajesh</t>
  </si>
  <si>
    <t>Prd013</t>
  </si>
  <si>
    <t>Mahesh</t>
  </si>
  <si>
    <t>Prd014</t>
  </si>
  <si>
    <t>Hemaraj</t>
  </si>
  <si>
    <t>Prd015</t>
  </si>
  <si>
    <t>Nagaraj</t>
  </si>
  <si>
    <t>Prd016</t>
  </si>
  <si>
    <t>Johson</t>
  </si>
  <si>
    <t>Prd017</t>
  </si>
  <si>
    <t>Prd018</t>
  </si>
  <si>
    <t>Anderson</t>
  </si>
  <si>
    <t>Prd019</t>
  </si>
  <si>
    <t>Prd020</t>
  </si>
  <si>
    <t xml:space="preserve">Use of Formulas - Lookup </t>
  </si>
  <si>
    <t xml:space="preserve">Q.1 How Many Employee in Work HR, IT, Marketing Department ? </t>
  </si>
  <si>
    <t xml:space="preserve">Q.2 Employee Santosh Salary? </t>
  </si>
  <si>
    <t xml:space="preserve">Q.3 IT &amp; Marketing Department Total Salary? </t>
  </si>
  <si>
    <t>?</t>
  </si>
  <si>
    <t>Assignment -23</t>
  </si>
  <si>
    <t>Use of Formulas - AND</t>
  </si>
  <si>
    <t>PASS</t>
  </si>
  <si>
    <t>MATHS</t>
  </si>
  <si>
    <t>BIOLOGY</t>
  </si>
  <si>
    <t>PASSED THE EXAM ?</t>
  </si>
  <si>
    <t>NITIN</t>
  </si>
  <si>
    <t>FAIL</t>
  </si>
  <si>
    <t>FEROZ</t>
  </si>
  <si>
    <t>ANITHA</t>
  </si>
  <si>
    <t>MADAN</t>
  </si>
  <si>
    <t>HARRY</t>
  </si>
  <si>
    <t>SUMITH</t>
  </si>
  <si>
    <t>HARSH</t>
  </si>
  <si>
    <t>TRIVEDI</t>
  </si>
  <si>
    <t>IN THIS EXAMPLE, IF STUDENT PASSES ALL THE SUBJECT, THEN HE HAS PASSED THE EXAM</t>
  </si>
  <si>
    <t>Use of Formulas - Averageif</t>
  </si>
  <si>
    <t>Units sold</t>
  </si>
  <si>
    <t>Student</t>
  </si>
  <si>
    <t>Semester</t>
  </si>
  <si>
    <t>second</t>
  </si>
  <si>
    <t>gary</t>
  </si>
  <si>
    <t>Third</t>
  </si>
  <si>
    <t>E</t>
  </si>
  <si>
    <t>Richa</t>
  </si>
  <si>
    <t>Hari</t>
  </si>
  <si>
    <t>C</t>
  </si>
  <si>
    <t>Tom</t>
  </si>
  <si>
    <t>Will</t>
  </si>
  <si>
    <t>F</t>
  </si>
  <si>
    <t>Average semester score</t>
  </si>
  <si>
    <t>Second</t>
  </si>
  <si>
    <t>Average of B</t>
  </si>
  <si>
    <t>Average of D</t>
  </si>
  <si>
    <t>Zone</t>
  </si>
  <si>
    <t>City</t>
  </si>
  <si>
    <t>Chennai</t>
  </si>
  <si>
    <t xml:space="preserve">East </t>
  </si>
  <si>
    <t>Patna</t>
  </si>
  <si>
    <t>Delhi</t>
  </si>
  <si>
    <t>Kanpur</t>
  </si>
  <si>
    <t>Gandhinagar</t>
  </si>
  <si>
    <t>Hubli</t>
  </si>
  <si>
    <t>Manglore</t>
  </si>
  <si>
    <t>Chandigarh</t>
  </si>
  <si>
    <t>Pune</t>
  </si>
  <si>
    <t>south</t>
  </si>
  <si>
    <t>Hyderabad</t>
  </si>
  <si>
    <t>Meerut</t>
  </si>
  <si>
    <t>Nagpur</t>
  </si>
  <si>
    <t>Average of West zone</t>
  </si>
  <si>
    <t>Avg of Units Sold above 250</t>
  </si>
  <si>
    <t>Avg of Units Sold below 100</t>
  </si>
  <si>
    <t>Assignment -25</t>
  </si>
  <si>
    <t xml:space="preserve">Use of Developer Tab -Draw Check Box </t>
  </si>
  <si>
    <t>Tasks</t>
  </si>
  <si>
    <t>Completion</t>
  </si>
  <si>
    <t>Task</t>
  </si>
  <si>
    <t>Status</t>
  </si>
  <si>
    <t>Book flight tickets</t>
  </si>
  <si>
    <t>Clean the house</t>
  </si>
  <si>
    <t>Book Hotel</t>
  </si>
  <si>
    <t>Prepare Guest List</t>
  </si>
  <si>
    <t>Book a table in Restaurant</t>
  </si>
  <si>
    <t>Plan Activities</t>
  </si>
  <si>
    <t>Book Return Flight Tickets</t>
  </si>
  <si>
    <t>Plan Menu for Food</t>
  </si>
  <si>
    <t>Plan Drinks</t>
  </si>
  <si>
    <t>Decorate Home</t>
  </si>
  <si>
    <t>Make Bed After Waking Up</t>
  </si>
  <si>
    <t>Invite Friends</t>
  </si>
  <si>
    <t>Make Coffee</t>
  </si>
  <si>
    <t>Water Plants</t>
  </si>
  <si>
    <t>Feed the Cat</t>
  </si>
  <si>
    <t>Read Mail</t>
  </si>
  <si>
    <t>Do Laundry</t>
  </si>
  <si>
    <t>Assignment -26</t>
  </si>
  <si>
    <t>Use of If and Vlookup -Compare List 1 to List 2</t>
  </si>
  <si>
    <t>List 1</t>
  </si>
  <si>
    <t>List 2</t>
  </si>
  <si>
    <t>Raj</t>
  </si>
  <si>
    <t>Ankita</t>
  </si>
  <si>
    <t>Rohit</t>
  </si>
  <si>
    <t>Kajal</t>
  </si>
  <si>
    <t>Abhay</t>
  </si>
  <si>
    <t>Rohan</t>
  </si>
  <si>
    <t>Akshay</t>
  </si>
  <si>
    <t>Puneet</t>
  </si>
  <si>
    <t>IF(A9=B9,"Matching","Not Matching")</t>
  </si>
  <si>
    <t>VLOOKUP(F12,E5:E12,1,0)</t>
  </si>
  <si>
    <t>Color List-1</t>
  </si>
  <si>
    <t>Color List-2</t>
  </si>
  <si>
    <t>Red</t>
  </si>
  <si>
    <t>Yellow</t>
  </si>
  <si>
    <t>Green</t>
  </si>
  <si>
    <t>Grey</t>
  </si>
  <si>
    <t>Blue</t>
  </si>
  <si>
    <t>White</t>
  </si>
  <si>
    <t>Black</t>
  </si>
  <si>
    <t>VLOOKUP(A17,E17:E22,1,FALSE)</t>
  </si>
  <si>
    <t>Assignment -27</t>
  </si>
  <si>
    <t xml:space="preserve">Use of Concatenate </t>
  </si>
  <si>
    <t>D21</t>
  </si>
  <si>
    <t>Vishal</t>
  </si>
  <si>
    <t>Mohan</t>
  </si>
  <si>
    <t>D22</t>
  </si>
  <si>
    <t>Mathew</t>
  </si>
  <si>
    <t>D23</t>
  </si>
  <si>
    <t>Jamemah</t>
  </si>
  <si>
    <t>Powel</t>
  </si>
  <si>
    <t>D24</t>
  </si>
  <si>
    <t>Arundhati</t>
  </si>
  <si>
    <t>Swaminathan</t>
  </si>
  <si>
    <t>D25</t>
  </si>
  <si>
    <t>Potter</t>
  </si>
  <si>
    <t>D26</t>
  </si>
  <si>
    <t>Roger</t>
  </si>
  <si>
    <t>=</t>
  </si>
  <si>
    <t>CONCATENATE(B5," ",C5)</t>
  </si>
  <si>
    <t>B16&amp;" "&amp;C16</t>
  </si>
  <si>
    <t>Assignment -28</t>
  </si>
  <si>
    <t>Use of Counta, Countif, Countifs, Vlookup and Index with Match</t>
  </si>
  <si>
    <t>Employee Database</t>
  </si>
  <si>
    <t>Emp Id</t>
  </si>
  <si>
    <t>Designation</t>
  </si>
  <si>
    <t>KRA</t>
  </si>
  <si>
    <t>ARUN</t>
  </si>
  <si>
    <t>MIS-OPERATION</t>
  </si>
  <si>
    <t>OPERATION</t>
  </si>
  <si>
    <t>PHP</t>
  </si>
  <si>
    <t>BISWAS</t>
  </si>
  <si>
    <t>SOFTWARE ENG</t>
  </si>
  <si>
    <t>JAVA</t>
  </si>
  <si>
    <t>DINESH</t>
  </si>
  <si>
    <t>SME</t>
  </si>
  <si>
    <t>MAILS</t>
  </si>
  <si>
    <t>ESHWAR</t>
  </si>
  <si>
    <t>PROGRAMMER</t>
  </si>
  <si>
    <t>C++</t>
  </si>
  <si>
    <t>FAHAD</t>
  </si>
  <si>
    <t>DOT NET</t>
  </si>
  <si>
    <t>GANGA</t>
  </si>
  <si>
    <t>SOFTWARE ASSOCIATE</t>
  </si>
  <si>
    <t>TESTING</t>
  </si>
  <si>
    <t>HEMA</t>
  </si>
  <si>
    <t>NETWORK ENG</t>
  </si>
  <si>
    <t>SERVER</t>
  </si>
  <si>
    <t>EMID</t>
  </si>
  <si>
    <t>FARZANA</t>
  </si>
  <si>
    <t>SALES EXECUTIVE</t>
  </si>
  <si>
    <t>ABHISHEK</t>
  </si>
  <si>
    <t>AYESH</t>
  </si>
  <si>
    <t>AMAZON</t>
  </si>
  <si>
    <t>PRAVEEN</t>
  </si>
  <si>
    <t>VISHAL</t>
  </si>
  <si>
    <t>GROFFERS</t>
  </si>
  <si>
    <t>VISHNU</t>
  </si>
  <si>
    <t>PAYTM</t>
  </si>
  <si>
    <t>NULL</t>
  </si>
  <si>
    <t>KRISHNA</t>
  </si>
  <si>
    <t>MYNTRA</t>
  </si>
  <si>
    <t>FARZANA BANU</t>
  </si>
  <si>
    <t>VAMSEE KRISHNA</t>
  </si>
  <si>
    <t>BRAND MANAGER</t>
  </si>
  <si>
    <t>MARKETING</t>
  </si>
  <si>
    <t xml:space="preserve">Q.1 How Many Employee? </t>
  </si>
  <si>
    <t xml:space="preserve">Q.2 How Many Employee in Sales Executive? </t>
  </si>
  <si>
    <t>Q.3 How Many Employee Sales Executive in Amazone and Myntra?</t>
  </si>
  <si>
    <t xml:space="preserve">Q.4 Employee Dinesh and Vishal Post and KRA? </t>
  </si>
  <si>
    <t>use of Vlookup</t>
  </si>
  <si>
    <t xml:space="preserve">Q.5 Employee Abhishek and Hema Emp id? </t>
  </si>
  <si>
    <t xml:space="preserve">Use of Index with Match </t>
  </si>
  <si>
    <t>Assignment -29</t>
  </si>
  <si>
    <t xml:space="preserve">Use of Vlookup One Sheet to Another Sheet </t>
  </si>
  <si>
    <t>Sheet 1- Data</t>
  </si>
  <si>
    <t>Location</t>
  </si>
  <si>
    <t>Donald</t>
  </si>
  <si>
    <t>Patrick</t>
  </si>
  <si>
    <t>Banglore</t>
  </si>
  <si>
    <t>Samuel</t>
  </si>
  <si>
    <t>Samson</t>
  </si>
  <si>
    <t>Henry</t>
  </si>
  <si>
    <t>Madrid</t>
  </si>
  <si>
    <t>Ronica</t>
  </si>
  <si>
    <t>Brave</t>
  </si>
  <si>
    <t>Christine</t>
  </si>
  <si>
    <t>Salvi</t>
  </si>
  <si>
    <t>Andrew</t>
  </si>
  <si>
    <t>Baisley</t>
  </si>
  <si>
    <t>Erica</t>
  </si>
  <si>
    <t>Irons</t>
  </si>
  <si>
    <t xml:space="preserve">Sheet 2- Use of Vlookup </t>
  </si>
  <si>
    <t>Assignment -30</t>
  </si>
  <si>
    <t xml:space="preserve">Get Pivot Table </t>
  </si>
  <si>
    <t>Pivot Table Result</t>
  </si>
  <si>
    <t>Date of Sale</t>
  </si>
  <si>
    <t>Month</t>
  </si>
  <si>
    <t>Sales Amt</t>
  </si>
  <si>
    <t>(All)</t>
  </si>
  <si>
    <t>January</t>
  </si>
  <si>
    <t>Sum of Sales Amt</t>
  </si>
  <si>
    <t>February</t>
  </si>
  <si>
    <t>Assignment -31</t>
  </si>
  <si>
    <t xml:space="preserve">USE OF HLOOKUP </t>
  </si>
  <si>
    <t>Months</t>
  </si>
  <si>
    <t>March</t>
  </si>
  <si>
    <t>April</t>
  </si>
  <si>
    <t>May</t>
  </si>
  <si>
    <t>June</t>
  </si>
  <si>
    <t>Sale</t>
  </si>
  <si>
    <t>Mat</t>
  </si>
  <si>
    <t>Jim</t>
  </si>
  <si>
    <t>Cole</t>
  </si>
  <si>
    <t>Ricky</t>
  </si>
  <si>
    <t>Mary</t>
  </si>
  <si>
    <t>Science</t>
  </si>
  <si>
    <t xml:space="preserve">English </t>
  </si>
  <si>
    <t>Marks in English</t>
  </si>
  <si>
    <t xml:space="preserve">Marks in Maths </t>
  </si>
  <si>
    <t>EMP</t>
  </si>
  <si>
    <t>FIS6067</t>
  </si>
  <si>
    <t>FIS5228</t>
  </si>
  <si>
    <t>FIS6799</t>
  </si>
  <si>
    <t>FIS1149</t>
  </si>
  <si>
    <t>FIS5834</t>
  </si>
  <si>
    <t>SALES1</t>
  </si>
  <si>
    <t>SALES2</t>
  </si>
  <si>
    <t>SALES3</t>
  </si>
  <si>
    <t>SALES4</t>
  </si>
  <si>
    <t>SALES5</t>
  </si>
  <si>
    <t xml:space="preserve">EMP </t>
  </si>
  <si>
    <t>Sales 4</t>
  </si>
  <si>
    <t>Temperarture (In Celsius)</t>
  </si>
  <si>
    <t>Cities</t>
  </si>
  <si>
    <t>New Delhi</t>
  </si>
  <si>
    <t>Mumbai</t>
  </si>
  <si>
    <t>Bangalore</t>
  </si>
  <si>
    <t>Temperature</t>
  </si>
  <si>
    <t>Employee</t>
  </si>
  <si>
    <t>Albert</t>
  </si>
  <si>
    <t>Aaron</t>
  </si>
  <si>
    <t>Albama</t>
  </si>
  <si>
    <t>Abeey</t>
  </si>
  <si>
    <t>Cathy</t>
  </si>
  <si>
    <t>Cat</t>
  </si>
  <si>
    <t>Assignment -32</t>
  </si>
  <si>
    <t>USE OF NESTEDIF</t>
  </si>
  <si>
    <t>Total Numbers Earned</t>
  </si>
  <si>
    <t>Grade earned</t>
  </si>
  <si>
    <t>Condition List</t>
  </si>
  <si>
    <t>John Wilkins</t>
  </si>
  <si>
    <t>90-100</t>
  </si>
  <si>
    <t>A+</t>
  </si>
  <si>
    <t>Steve Harrington</t>
  </si>
  <si>
    <t>85 - &lt; 90</t>
  </si>
  <si>
    <t>Edward Clark</t>
  </si>
  <si>
    <t>80 - &lt; 85</t>
  </si>
  <si>
    <t>B+</t>
  </si>
  <si>
    <t>Jimmy Chemberlin</t>
  </si>
  <si>
    <t>75 - &lt; 80</t>
  </si>
  <si>
    <t> B</t>
  </si>
  <si>
    <t>Alex Wilkins</t>
  </si>
  <si>
    <t>70 - &lt; 75</t>
  </si>
  <si>
    <t>C+</t>
  </si>
  <si>
    <t>Patty Scott</t>
  </si>
  <si>
    <t>65 - &lt; 70</t>
  </si>
  <si>
    <t>Andrew Williams</t>
  </si>
  <si>
    <t>60 - &lt; 65</t>
  </si>
  <si>
    <t>D+</t>
  </si>
  <si>
    <t>Emilia johnson</t>
  </si>
  <si>
    <t>50 - &lt; 60</t>
  </si>
  <si>
    <t>Anthony Rogers</t>
  </si>
  <si>
    <t>&lt; 50</t>
  </si>
  <si>
    <t>Sl #</t>
  </si>
  <si>
    <t>Month Number</t>
  </si>
  <si>
    <t>=VLOOKUP(H2,$A$2:$C$13,3,0)</t>
  </si>
  <si>
    <t>August</t>
  </si>
  <si>
    <t>September</t>
  </si>
  <si>
    <t>October</t>
  </si>
  <si>
    <t>November</t>
  </si>
  <si>
    <t>December</t>
  </si>
  <si>
    <t>Assignment -33</t>
  </si>
  <si>
    <t>Merge Table 1,2 &amp; 3 Using Vlookup</t>
  </si>
  <si>
    <t>Table 1</t>
  </si>
  <si>
    <t>Table 2</t>
  </si>
  <si>
    <t>Table 3</t>
  </si>
  <si>
    <t>Dept</t>
  </si>
  <si>
    <t xml:space="preserve">Result </t>
  </si>
  <si>
    <t>Assignment -34</t>
  </si>
  <si>
    <t>Owner</t>
  </si>
  <si>
    <t>Product Class</t>
  </si>
  <si>
    <t>Quantity  Sold</t>
  </si>
  <si>
    <t>Ben</t>
  </si>
  <si>
    <t>A1</t>
  </si>
  <si>
    <t>Jeff</t>
  </si>
  <si>
    <t>A4</t>
  </si>
  <si>
    <t>C3</t>
  </si>
  <si>
    <t>C14</t>
  </si>
  <si>
    <t>Jenny</t>
  </si>
  <si>
    <t>A12</t>
  </si>
  <si>
    <t>B3</t>
  </si>
  <si>
    <t>B7</t>
  </si>
  <si>
    <t>B11</t>
  </si>
  <si>
    <t xml:space="preserve">Total Quantity Sold             By Ben </t>
  </si>
  <si>
    <t>Total Quantity Sold             By Jenny</t>
  </si>
  <si>
    <t>Total Quantity Sold             By Ben  &amp; Jenny</t>
  </si>
  <si>
    <t>SUMIF(A2:A9,"Ben",C2:C9)+SUMIF(A2:A9,"Jenny",C2:C9)</t>
  </si>
  <si>
    <t>Total Quantity Sold             By Jeff  &amp; Jenny</t>
  </si>
  <si>
    <t>Assignment -35</t>
  </si>
  <si>
    <t>Use of SUMPRODUCT &amp; VLOOKUP</t>
  </si>
  <si>
    <t>Qt.</t>
  </si>
  <si>
    <t>Price</t>
  </si>
  <si>
    <t>Bulb</t>
  </si>
  <si>
    <t>Tube light</t>
  </si>
  <si>
    <t>Heater</t>
  </si>
  <si>
    <t>CFL</t>
  </si>
  <si>
    <t>charger</t>
  </si>
  <si>
    <t>RESULT</t>
  </si>
  <si>
    <t>SUMPRODUCT(B5:B9,C5:C9)</t>
  </si>
  <si>
    <t>USE OF VLOOKUP</t>
  </si>
  <si>
    <t>TABLE 1 TO TABLE 2</t>
  </si>
  <si>
    <t>City Code</t>
  </si>
  <si>
    <t>Pin Code</t>
  </si>
  <si>
    <t>U_362</t>
  </si>
  <si>
    <t>Z_143</t>
  </si>
  <si>
    <t>F_103</t>
  </si>
  <si>
    <t>N_148</t>
  </si>
  <si>
    <t>L_120</t>
  </si>
  <si>
    <t>G_455</t>
  </si>
  <si>
    <t>E_195</t>
  </si>
  <si>
    <t>E_41</t>
  </si>
  <si>
    <t>O_62</t>
  </si>
  <si>
    <t>B_277</t>
  </si>
  <si>
    <t>V_318</t>
  </si>
  <si>
    <t>J_446</t>
  </si>
  <si>
    <t>P_18</t>
  </si>
  <si>
    <t>T_84</t>
  </si>
  <si>
    <t>J_264</t>
  </si>
  <si>
    <t>X_296</t>
  </si>
  <si>
    <t>X_112</t>
  </si>
  <si>
    <t>J_430</t>
  </si>
  <si>
    <t>I_159</t>
  </si>
  <si>
    <t>F_10</t>
  </si>
  <si>
    <t>Assignment -36</t>
  </si>
  <si>
    <t>Emp</t>
  </si>
  <si>
    <t>Branch</t>
  </si>
  <si>
    <t>INCENTIVE</t>
  </si>
  <si>
    <t>Bonus</t>
  </si>
  <si>
    <t>TA</t>
  </si>
  <si>
    <t>Raja</t>
  </si>
  <si>
    <t>north</t>
  </si>
  <si>
    <t>Ferozepur</t>
  </si>
  <si>
    <t>,</t>
  </si>
  <si>
    <t>Suman</t>
  </si>
  <si>
    <t>east</t>
  </si>
  <si>
    <t>Cuttack</t>
  </si>
  <si>
    <t>Mktg</t>
  </si>
  <si>
    <t>Beena</t>
  </si>
  <si>
    <t>R&amp;D</t>
  </si>
  <si>
    <t>Seema</t>
  </si>
  <si>
    <t>Julie</t>
  </si>
  <si>
    <t>Mathura</t>
  </si>
  <si>
    <t>Admin</t>
  </si>
  <si>
    <t>Neena</t>
  </si>
  <si>
    <t>Agra</t>
  </si>
  <si>
    <t>Director</t>
  </si>
  <si>
    <t>Pankaj</t>
  </si>
  <si>
    <t>Ambala</t>
  </si>
  <si>
    <t>Personal</t>
  </si>
  <si>
    <t>Andre</t>
  </si>
  <si>
    <t>Darjeeling</t>
  </si>
  <si>
    <t>CCD</t>
  </si>
  <si>
    <t>Sujay</t>
  </si>
  <si>
    <t>west</t>
  </si>
  <si>
    <t>Shilpa</t>
  </si>
  <si>
    <t>Jammu</t>
  </si>
  <si>
    <t>Meera</t>
  </si>
  <si>
    <t>Calcutta</t>
  </si>
  <si>
    <t>Sheetal</t>
  </si>
  <si>
    <t>cochin</t>
  </si>
  <si>
    <t>K. Sita</t>
  </si>
  <si>
    <t>Priya</t>
  </si>
  <si>
    <t>Jaipur</t>
  </si>
  <si>
    <t>Aalok</t>
  </si>
  <si>
    <t>Aakash</t>
  </si>
  <si>
    <t>Nasik</t>
  </si>
  <si>
    <t>Parvati</t>
  </si>
  <si>
    <t xml:space="preserve">Q.1 How many Emloyee in Sales and Mktg Department. </t>
  </si>
  <si>
    <t xml:space="preserve">Q.2 How Many salary in Sales Department. </t>
  </si>
  <si>
    <t xml:space="preserve">Q.3 How many Employee Department Sales, North Region Salary. </t>
  </si>
  <si>
    <t>employee in sales department</t>
  </si>
  <si>
    <t xml:space="preserve">Q.4 How many Employee Department Sales and Region north. </t>
  </si>
  <si>
    <t>Q.5 If Salary Greater Then 15000, "A", if salary Greater Then 10000, "B" otherwise "C".</t>
  </si>
  <si>
    <t>north region salary</t>
  </si>
  <si>
    <t>Assignment -37</t>
  </si>
  <si>
    <t>WITH CONDITION TRUE/FALSE</t>
  </si>
  <si>
    <t xml:space="preserve">CONDITION </t>
  </si>
  <si>
    <t>Empcode</t>
  </si>
  <si>
    <t>Incentive</t>
  </si>
  <si>
    <t>Grade</t>
  </si>
  <si>
    <t>salary slab</t>
  </si>
  <si>
    <t>incentive</t>
  </si>
  <si>
    <t>grade</t>
  </si>
  <si>
    <t>G</t>
  </si>
  <si>
    <t>H</t>
  </si>
  <si>
    <t>Farhan</t>
  </si>
  <si>
    <t>Satinder Kaur</t>
  </si>
  <si>
    <t>Suchita</t>
  </si>
  <si>
    <t>Shazia</t>
  </si>
  <si>
    <t>Pooja</t>
  </si>
  <si>
    <t>Jasbinder</t>
  </si>
  <si>
    <t>Bharat</t>
  </si>
  <si>
    <t>Rishi</t>
  </si>
  <si>
    <t>Mala</t>
  </si>
  <si>
    <t>Hajra</t>
  </si>
  <si>
    <t>Aalam</t>
  </si>
  <si>
    <t>Giriraj</t>
  </si>
  <si>
    <t>Ankur</t>
  </si>
  <si>
    <t>Tapan</t>
  </si>
  <si>
    <t>Zarina</t>
  </si>
  <si>
    <t>Arun</t>
  </si>
  <si>
    <t>Chitra</t>
  </si>
  <si>
    <t>Kirtikar</t>
  </si>
  <si>
    <t>Assignment -38</t>
  </si>
  <si>
    <t xml:space="preserve">USE OF DATEDIF FORMULAS CALCULATE DOB </t>
  </si>
  <si>
    <t>FirstDate</t>
  </si>
  <si>
    <t>SecondDate</t>
  </si>
  <si>
    <t>Interval</t>
  </si>
  <si>
    <t>Difference</t>
  </si>
  <si>
    <t>days</t>
  </si>
  <si>
    <t xml:space="preserve"> =DATEDIF(C4,D4,"d")</t>
  </si>
  <si>
    <t>months</t>
  </si>
  <si>
    <t xml:space="preserve"> =DATEDIF(C5,D5,"m")</t>
  </si>
  <si>
    <t>years</t>
  </si>
  <si>
    <t xml:space="preserve"> =DATEDIF(C6,D6,"y")</t>
  </si>
  <si>
    <t>yeardays</t>
  </si>
  <si>
    <t xml:space="preserve"> =DATEDIF(C7,D7,"yd")</t>
  </si>
  <si>
    <t>yearmonths</t>
  </si>
  <si>
    <t xml:space="preserve"> =DATEDIF(C8,D8,"ym")</t>
  </si>
  <si>
    <t>monthdays</t>
  </si>
  <si>
    <t xml:space="preserve"> =DATEDIF(C9,D9,"md")</t>
  </si>
  <si>
    <t>What Does It Do?</t>
  </si>
  <si>
    <t>This function calculates the difference between two dates.</t>
  </si>
  <si>
    <t>It can show the result in weeks, months or years.</t>
  </si>
  <si>
    <t>Syntax</t>
  </si>
  <si>
    <t xml:space="preserve"> =DATEDIF(FirstDate,SecondDate,"Interval")</t>
  </si>
  <si>
    <t>FirstDate : This is the earliest of the two dates.</t>
  </si>
  <si>
    <t>SecondDate : This is the most recent of the two dates.</t>
  </si>
  <si>
    <t>"Interval" : This indicates what you want to calculate.</t>
  </si>
  <si>
    <t>These are the available intervals.</t>
  </si>
  <si>
    <t>"d"</t>
  </si>
  <si>
    <t>Days between the two dates.</t>
  </si>
  <si>
    <t>"m"</t>
  </si>
  <si>
    <t>Months between the two dates.</t>
  </si>
  <si>
    <t>"y"</t>
  </si>
  <si>
    <t>Years between the two dates.</t>
  </si>
  <si>
    <t>"yd"</t>
  </si>
  <si>
    <t>Days between the dates, as if the dates were in the same year.</t>
  </si>
  <si>
    <t>"ym"</t>
  </si>
  <si>
    <t>Months between the dates, as if the dates were in the same year.</t>
  </si>
  <si>
    <t>"md"</t>
  </si>
  <si>
    <t>Days between the two dates, as if the dates were in the same month and year.</t>
  </si>
  <si>
    <t>Formatting</t>
  </si>
  <si>
    <t>No special formatting is needed.</t>
  </si>
  <si>
    <t>Birth date :</t>
  </si>
  <si>
    <t>Years lived :</t>
  </si>
  <si>
    <t xml:space="preserve"> =DATEDIF(C8,TODAY(),"y")</t>
  </si>
  <si>
    <t>and the months :</t>
  </si>
  <si>
    <t xml:space="preserve"> =DATEDIF(C8,TODAY(),"ym")</t>
  </si>
  <si>
    <t>and the days :</t>
  </si>
  <si>
    <t xml:space="preserve"> =DATEDIF(C8,TODAY(),"md")</t>
  </si>
  <si>
    <t>You can put this all together in one calculation, which creates a text version.</t>
  </si>
  <si>
    <t xml:space="preserve"> ="Age is "&amp;DATEDIF(C8,TODAY(),"y")&amp;" Years, "&amp;DATEDIF(C8,TODAY(),"ym")&amp;" Months and "&amp;DATEDIF(C8,TODAY(),"md")&amp;" Days"</t>
  </si>
  <si>
    <t>Assignment -39</t>
  </si>
  <si>
    <t>USE OF DAVERAGE</t>
  </si>
  <si>
    <t>Wattage</t>
  </si>
  <si>
    <t>Life Hours</t>
  </si>
  <si>
    <t>Unit Cost</t>
  </si>
  <si>
    <t>Box Quantity</t>
  </si>
  <si>
    <t>Boxes In Stock</t>
  </si>
  <si>
    <t>Value Of Stock</t>
  </si>
  <si>
    <t>Horizon</t>
  </si>
  <si>
    <t>Neon</t>
  </si>
  <si>
    <t>Spot</t>
  </si>
  <si>
    <t>Other</t>
  </si>
  <si>
    <t>Sunbeam</t>
  </si>
  <si>
    <t>unknown</t>
  </si>
  <si>
    <t>To calculate the Average cost of a particular Brand of bulb.</t>
  </si>
  <si>
    <r>
      <rPr>
        <i/>
        <sz val="10"/>
        <color theme="1"/>
        <rFont val="Arial"/>
      </rPr>
      <t xml:space="preserve">These two cells are the </t>
    </r>
    <r>
      <rPr>
        <b/>
        <i/>
        <sz val="10"/>
        <color theme="1"/>
        <rFont val="Arial"/>
      </rPr>
      <t>Criteria</t>
    </r>
    <r>
      <rPr>
        <i/>
        <sz val="10"/>
        <color theme="1"/>
        <rFont val="Arial"/>
      </rPr>
      <t xml:space="preserve"> range.</t>
    </r>
  </si>
  <si>
    <t xml:space="preserve">Type the brand name : </t>
  </si>
  <si>
    <t>sunbeam</t>
  </si>
  <si>
    <t xml:space="preserve"> =DAVERAGE(B3:I19,F3,E23:E24)</t>
  </si>
  <si>
    <t>Examples</t>
  </si>
  <si>
    <t>The average Unit Cost of a particular Product of a particular Brand.</t>
  </si>
  <si>
    <t xml:space="preserve"> =DAVERAGE(B3:I19,F3,E49:F50)</t>
  </si>
  <si>
    <t>This is the same calculation but using the actual name "Unit Cost" instead of the cell address.</t>
  </si>
  <si>
    <t xml:space="preserve"> =DAVERAGE(B3:I19,"Unit Cost",E49:F50)</t>
  </si>
  <si>
    <t>The average Unit Cost of a Bulb equal to a particular Wattage.</t>
  </si>
  <si>
    <t xml:space="preserve"> =DAVERAGE(B3:I19,"Unit Cost",E60:F61)</t>
  </si>
  <si>
    <t>The average Unit Cost of a Bulb less then a particular Wattage.</t>
  </si>
  <si>
    <t>&lt;100</t>
  </si>
  <si>
    <t xml:space="preserve"> =DAVERAGE(B3:I19,"Unit Cost",E67:F68)</t>
  </si>
  <si>
    <t>Assignment -40</t>
  </si>
  <si>
    <t>USE OF DCOUNT</t>
  </si>
  <si>
    <t>Count the number of products of a particular Brand which have a Life Hours rating.</t>
  </si>
  <si>
    <r>
      <rPr>
        <i/>
        <sz val="10"/>
        <color theme="1"/>
        <rFont val="Arial"/>
      </rPr>
      <t xml:space="preserve">These two cells are the </t>
    </r>
    <r>
      <rPr>
        <b/>
        <i/>
        <sz val="10"/>
        <color theme="1"/>
        <rFont val="Arial"/>
      </rPr>
      <t>Criteria</t>
    </r>
    <r>
      <rPr>
        <i/>
        <sz val="10"/>
        <color theme="1"/>
        <rFont val="Arial"/>
      </rPr>
      <t xml:space="preserve"> range.</t>
    </r>
  </si>
  <si>
    <t xml:space="preserve"> =DCOUNT(B3:I19,D3,E23:E24)</t>
  </si>
  <si>
    <t>What Does It Do ?</t>
  </si>
  <si>
    <t>This function examines a list of information and counts the values in a specified column.</t>
  </si>
  <si>
    <t>It can only count values, the text items and blank cells are ignored.</t>
  </si>
  <si>
    <t>=DCOUNT(DatabaseRange,FieldName,CriteriaRange)</t>
  </si>
  <si>
    <t>The count of a particular product, with a specific number of boxes in stock.</t>
  </si>
  <si>
    <t xml:space="preserve">The number of products is : </t>
  </si>
  <si>
    <t xml:space="preserve"> =DCOUNT(B3:I19,H3,E50:F51)</t>
  </si>
  <si>
    <t>This is the same calculation but using the name "Boxes In Stock" instead of the cell address.</t>
  </si>
  <si>
    <t xml:space="preserve"> =DCOUNT(B3:I19,"Boxes In Stock",E50:F51)</t>
  </si>
  <si>
    <t>The count of the number of  Bulb products equal to a particular Wattage.</t>
  </si>
  <si>
    <t xml:space="preserve">The count is : </t>
  </si>
  <si>
    <t xml:space="preserve"> =DCOUNT(B3:I19,"Boxes In Stock",E61:F62)</t>
  </si>
  <si>
    <t>The count of Bulb products between two Wattage values.</t>
  </si>
  <si>
    <t>&gt;=80</t>
  </si>
  <si>
    <t>&lt;=100</t>
  </si>
  <si>
    <t xml:space="preserve"> =DCOUNT(B3:I19,"Boxes In Stock",E68:G69)</t>
  </si>
  <si>
    <t>Assignment -41</t>
  </si>
  <si>
    <t>USE OF DCOUNTA</t>
  </si>
  <si>
    <t>Count the number of products of a particular Brand.</t>
  </si>
  <si>
    <r>
      <rPr>
        <i/>
        <sz val="10"/>
        <color theme="1"/>
        <rFont val="Arial"/>
      </rPr>
      <t xml:space="preserve">These two cells are the </t>
    </r>
    <r>
      <rPr>
        <b/>
        <i/>
        <sz val="10"/>
        <color theme="1"/>
        <rFont val="Arial"/>
      </rPr>
      <t>Criteria</t>
    </r>
    <r>
      <rPr>
        <i/>
        <sz val="10"/>
        <color theme="1"/>
        <rFont val="Arial"/>
      </rPr>
      <t xml:space="preserve"> range.</t>
    </r>
  </si>
  <si>
    <t xml:space="preserve"> =DCOUNTA(B3:I19,E3,E23:E24)</t>
  </si>
  <si>
    <t>This function examines a list of information and counts the non blank cells in a specified column.</t>
  </si>
  <si>
    <t>It counts values and text items, but blank cells are ignored.</t>
  </si>
  <si>
    <t>=DCOUNTA(DatabaseRange,FieldName,CriteriaRange)</t>
  </si>
  <si>
    <t>The count of a product with an unknown Life Hours value.</t>
  </si>
  <si>
    <t xml:space="preserve"> =DCOUNTA(B3:I19,D3,E50:F51)</t>
  </si>
  <si>
    <t>This is the same calculation but using the name "Life Hours" instead of the cell address.</t>
  </si>
  <si>
    <t xml:space="preserve"> =DCOUNTA(B3:I19,"Life Hours",E50:F51)</t>
  </si>
  <si>
    <t>The count of the number of  particular product of a specific brand.</t>
  </si>
  <si>
    <t xml:space="preserve"> =DCOUNTA(B3:I19,"Product",E61:F62)</t>
  </si>
  <si>
    <t>The count of particular products from specific brands.</t>
  </si>
  <si>
    <t xml:space="preserve"> =DCOUNTA(B3:I19,"Product",E68:F70)</t>
  </si>
  <si>
    <t>Assignment -42</t>
  </si>
  <si>
    <t>USE OF DMAX</t>
  </si>
  <si>
    <t>To calculate largest Value Of Stock of a particular Brand of bulb.</t>
  </si>
  <si>
    <r>
      <rPr>
        <i/>
        <sz val="10"/>
        <color theme="1"/>
        <rFont val="Arial"/>
      </rPr>
      <t xml:space="preserve">These two cells are the </t>
    </r>
    <r>
      <rPr>
        <b/>
        <i/>
        <sz val="10"/>
        <color theme="1"/>
        <rFont val="Arial"/>
      </rPr>
      <t>Criteria</t>
    </r>
    <r>
      <rPr>
        <i/>
        <sz val="10"/>
        <color theme="1"/>
        <rFont val="Arial"/>
      </rPr>
      <t xml:space="preserve"> range.</t>
    </r>
  </si>
  <si>
    <t xml:space="preserve"> =DMAX(B3:I19,I3,E23:E24)</t>
  </si>
  <si>
    <t>This function examines a list of information and produces the largest value from a specified column.</t>
  </si>
  <si>
    <t>=DMAX(DatabaseRange,FieldName,CriteriaRange)</t>
  </si>
  <si>
    <t>The largest Value Of Stock of a particular Product of a particular Brand.</t>
  </si>
  <si>
    <t xml:space="preserve">The largest value is : </t>
  </si>
  <si>
    <t xml:space="preserve"> =DMAX(B3:I19,I3,E49:F50)</t>
  </si>
  <si>
    <t>This is the same calculation but using the name "Value Of Stock" instead of the cell address.</t>
  </si>
  <si>
    <t xml:space="preserve"> =DMAX(B3:I19,"Value Of Stock",E49:F50)</t>
  </si>
  <si>
    <t>The largest Value Of Stock of a Bulb equal to a particular Wattage.</t>
  </si>
  <si>
    <t xml:space="preserve">The largest Value Of Stock is : </t>
  </si>
  <si>
    <t xml:space="preserve"> =DMAX(B3:I19,"Value Of Stock",E60:F61)</t>
  </si>
  <si>
    <t>The largest Value Of Stock of a Bulb less than a particular Wattage.</t>
  </si>
  <si>
    <t xml:space="preserve"> =DMAX(B3:I19,"Value Of Stock",E67:F68)</t>
  </si>
  <si>
    <t>Assignment -43</t>
  </si>
  <si>
    <t>USE OF DSUM</t>
  </si>
  <si>
    <t>To calculate the total Value Of Stock of a particular Brand of bulb.</t>
  </si>
  <si>
    <r>
      <rPr>
        <i/>
        <sz val="10"/>
        <color theme="1"/>
        <rFont val="Arial"/>
      </rPr>
      <t xml:space="preserve">These two cells are the </t>
    </r>
    <r>
      <rPr>
        <b/>
        <i/>
        <sz val="10"/>
        <color theme="1"/>
        <rFont val="Arial"/>
      </rPr>
      <t>Criteria</t>
    </r>
    <r>
      <rPr>
        <i/>
        <sz val="10"/>
        <color theme="1"/>
        <rFont val="Arial"/>
      </rPr>
      <t xml:space="preserve"> range.</t>
    </r>
  </si>
  <si>
    <t xml:space="preserve"> =DSUM(B3:I19,I3,E23:E24)</t>
  </si>
  <si>
    <t>=DSUM(DatabaseRange,FieldName,CriteriaRange)</t>
  </si>
  <si>
    <t>The total Value Of Stock of a particular Product of a particular Brand.</t>
  </si>
  <si>
    <t xml:space="preserve">Total stock value is : </t>
  </si>
  <si>
    <t xml:space="preserve"> =DSUM(B3:I19,I3,E49:F50)</t>
  </si>
  <si>
    <t xml:space="preserve"> =DSUM(B3:I19,"Value Of Stock",E49:F50)</t>
  </si>
  <si>
    <t>The total Value Of Stock of a Bulb equal to a particular Wattage.</t>
  </si>
  <si>
    <t xml:space="preserve">Total Value Of Stock is : </t>
  </si>
  <si>
    <t xml:space="preserve"> =DSUM(B3:I19,"Value Of Stock",E60:F61)</t>
  </si>
  <si>
    <t>The total Value Of Stock of a Bulb less than a particular Wattage.</t>
  </si>
  <si>
    <t xml:space="preserve"> =DSUM(B3:I19,"Value Of Stock",E67:F68)</t>
  </si>
  <si>
    <t>Assignment -44</t>
  </si>
  <si>
    <t>USE OF FIND &amp; LARGE FORMULA</t>
  </si>
  <si>
    <t>Text</t>
  </si>
  <si>
    <t>Letter To Find</t>
  </si>
  <si>
    <t>Position Of Letter</t>
  </si>
  <si>
    <t>Hello</t>
  </si>
  <si>
    <t>e</t>
  </si>
  <si>
    <t xml:space="preserve"> =FIND(D4,C4)</t>
  </si>
  <si>
    <t xml:space="preserve"> =FIND(D5,C5)</t>
  </si>
  <si>
    <t>o</t>
  </si>
  <si>
    <t xml:space="preserve"> =FIND(D6,C6)</t>
  </si>
  <si>
    <t>Alan Williams</t>
  </si>
  <si>
    <t>a</t>
  </si>
  <si>
    <t xml:space="preserve"> =FIND(D7,C7)</t>
  </si>
  <si>
    <t xml:space="preserve"> =FIND(D8,C8,6)</t>
  </si>
  <si>
    <t>T</t>
  </si>
  <si>
    <t xml:space="preserve"> =FIND(D9,C9)</t>
  </si>
  <si>
    <t>Values</t>
  </si>
  <si>
    <t>Highest Value</t>
  </si>
  <si>
    <t xml:space="preserve"> =LARGE(C4:C8,1)</t>
  </si>
  <si>
    <t>2nd Highest Value</t>
  </si>
  <si>
    <t xml:space="preserve"> =LARGE(C4:C8,2)</t>
  </si>
  <si>
    <t>3rd Highest Value</t>
  </si>
  <si>
    <t xml:space="preserve"> =LARGE(C4:C8,3)</t>
  </si>
  <si>
    <t>4th Highest Value</t>
  </si>
  <si>
    <t xml:space="preserve"> =LARGE(C4:C8,4)</t>
  </si>
  <si>
    <t>5th Highest Value</t>
  </si>
  <si>
    <t xml:space="preserve"> =LARGE(C4:C8,5)</t>
  </si>
  <si>
    <t>This function examines a list of values and picks the value at a user specified position</t>
  </si>
  <si>
    <t>in the list.</t>
  </si>
  <si>
    <t>=LARGE(ListOfNumbersToExamine,PositionToPickFrom)</t>
  </si>
  <si>
    <t>Example</t>
  </si>
  <si>
    <t>The following table was used to calculate the top 3 sales figures between Jan, Feb and Mar.</t>
  </si>
  <si>
    <t xml:space="preserve"> =LARGE(D24:F27,1)</t>
  </si>
  <si>
    <t xml:space="preserve"> =LARGE(D24:F27,2)</t>
  </si>
  <si>
    <t xml:space="preserve"> =LARGE(D24:F27,3)</t>
  </si>
  <si>
    <t>Note</t>
  </si>
  <si>
    <t>Another way to find the Highest and Lowest values would have been to use</t>
  </si>
  <si>
    <t>the =MAX() and =MIN() functions.</t>
  </si>
  <si>
    <t>Highest</t>
  </si>
  <si>
    <t xml:space="preserve"> =MAX(D24:F27)</t>
  </si>
  <si>
    <t>Lowest</t>
  </si>
  <si>
    <t xml:space="preserve"> =MIN(D24:F27)</t>
  </si>
  <si>
    <t>Assignment -45</t>
  </si>
  <si>
    <t>USE OF LEFT, FIND, LEN,LOWER, NETWORKDAYS</t>
  </si>
  <si>
    <t xml:space="preserve">USE OF LEFT </t>
  </si>
  <si>
    <t>Number Of
Characters Required</t>
  </si>
  <si>
    <t>Left String</t>
  </si>
  <si>
    <t>Alan Jones</t>
  </si>
  <si>
    <t>LEFT(A5,B5)</t>
  </si>
  <si>
    <t>Cardiff</t>
  </si>
  <si>
    <t>ABC123</t>
  </si>
  <si>
    <t>USE OF LEFT AND FIND</t>
  </si>
  <si>
    <t xml:space="preserve"> =LEFT(A12,FIND(" ",A12)-1)</t>
  </si>
  <si>
    <t>Bob Smith</t>
  </si>
  <si>
    <t>Carol Williams</t>
  </si>
  <si>
    <t>USE OF LEN</t>
  </si>
  <si>
    <t>Length</t>
  </si>
  <si>
    <t xml:space="preserve"> =LEN(A18)</t>
  </si>
  <si>
    <t>USE OF LOWER</t>
  </si>
  <si>
    <t>Upper Case Text</t>
  </si>
  <si>
    <t>Lower Case</t>
  </si>
  <si>
    <t>ALAN JONES</t>
  </si>
  <si>
    <t xml:space="preserve"> =LOWER(A27)</t>
  </si>
  <si>
    <t>BOB SMITH</t>
  </si>
  <si>
    <t>CAROL WILLIAMS</t>
  </si>
  <si>
    <t>CARDIFF</t>
  </si>
  <si>
    <t>USE OF NETWORKDAYS</t>
  </si>
  <si>
    <t>End Date</t>
  </si>
  <si>
    <t>Work Days</t>
  </si>
  <si>
    <t xml:space="preserve"> =NETWORKDAYS(A36,B36)</t>
  </si>
  <si>
    <t>Assignment -46</t>
  </si>
  <si>
    <t>USE OF POWER, PRODUCT, PROPER, REPT</t>
  </si>
  <si>
    <t xml:space="preserve">USE OF POWER </t>
  </si>
  <si>
    <t>Number</t>
  </si>
  <si>
    <t>Power</t>
  </si>
  <si>
    <t xml:space="preserve"> =POWER(A5,B5)</t>
  </si>
  <si>
    <t>USE OF PRODUCT</t>
  </si>
  <si>
    <t>Numbers</t>
  </si>
  <si>
    <t xml:space="preserve"> =PRODUCT(A12,B12)</t>
  </si>
  <si>
    <t>USE OF PROPER</t>
  </si>
  <si>
    <t>Original Text</t>
  </si>
  <si>
    <t>Proper</t>
  </si>
  <si>
    <t>alan jones</t>
  </si>
  <si>
    <t xml:space="preserve"> =PROPER(A19)</t>
  </si>
  <si>
    <t>bob smith</t>
  </si>
  <si>
    <t>caRol wILLIAMS</t>
  </si>
  <si>
    <t>cardiff</t>
  </si>
  <si>
    <t>USE OF REPT</t>
  </si>
  <si>
    <t>Text To
Repeat</t>
  </si>
  <si>
    <t>Number Of
Repeats</t>
  </si>
  <si>
    <t>Repeated
Text</t>
  </si>
  <si>
    <t xml:space="preserve"> =REPT(A27,B27)</t>
  </si>
  <si>
    <t>AB</t>
  </si>
  <si>
    <t>-</t>
  </si>
  <si>
    <t>|</t>
  </si>
  <si>
    <t>Assignment -48</t>
  </si>
  <si>
    <t>comission</t>
  </si>
  <si>
    <t>target</t>
  </si>
  <si>
    <t>USE OF COUNTA AND VLOOKUP</t>
  </si>
  <si>
    <t>Ajeet</t>
  </si>
  <si>
    <t>USE OF COUNTIF</t>
  </si>
  <si>
    <t>USE OF LOOKUP</t>
  </si>
  <si>
    <t>Q.6 How Many sales Man sales Jan Months Sales &gt;2000 &amp; March Sales &lt;=1500 ?</t>
  </si>
  <si>
    <t>USE OF COUNTIFS</t>
  </si>
  <si>
    <t>Q.7 Jan to Target Highlights 2000 between 5000, Font Red &amp; Background Yeloow?</t>
  </si>
  <si>
    <t>USE OF CONDITIONL F</t>
  </si>
  <si>
    <t>Q.8 If sales Greter then Target then Comission 10% otherwise 5% ?</t>
  </si>
  <si>
    <t xml:space="preserve">UEE OF IF FUNCTION </t>
  </si>
  <si>
    <t>Assignment -47</t>
  </si>
  <si>
    <t>USE OF RIGHT, ROMAN &amp; SMALL</t>
  </si>
  <si>
    <t>Original
Text</t>
  </si>
  <si>
    <t>Right
String</t>
  </si>
  <si>
    <t xml:space="preserve"> =RIGHT(A4,B4)</t>
  </si>
  <si>
    <t>USE OF ROMAN</t>
  </si>
  <si>
    <t>Roman</t>
  </si>
  <si>
    <t xml:space="preserve"> =ROMAN(A13)</t>
  </si>
  <si>
    <t xml:space="preserve">USE OF SMALL </t>
  </si>
  <si>
    <t>Lowest Value</t>
  </si>
  <si>
    <t xml:space="preserve"> =SMALL(D24:F27,1)</t>
  </si>
  <si>
    <t>2nd Lowest Value</t>
  </si>
  <si>
    <t xml:space="preserve"> =SMALL(D24:F27,2)</t>
  </si>
  <si>
    <t>3rd Lowest Value</t>
  </si>
  <si>
    <t xml:space="preserve"> =SMALL(D24:F27,3)</t>
  </si>
  <si>
    <t>Assignment -49</t>
  </si>
  <si>
    <t>rank</t>
  </si>
  <si>
    <t>USE OF CONDITIONAL FORMATTING</t>
  </si>
  <si>
    <t>Assignment -50</t>
  </si>
  <si>
    <t>USE OF DATEDIF</t>
  </si>
  <si>
    <t>#N/A</t>
  </si>
  <si>
    <t/>
  </si>
  <si>
    <t>AVERAGE</t>
  </si>
  <si>
    <t>TOTAL NUM</t>
  </si>
  <si>
    <t>HIndi</t>
  </si>
  <si>
    <t>english</t>
  </si>
  <si>
    <t>Q1</t>
  </si>
  <si>
    <t>Q2</t>
  </si>
  <si>
    <t>Q3</t>
  </si>
  <si>
    <t>Q4</t>
  </si>
  <si>
    <t>Q5</t>
  </si>
  <si>
    <t>Q6</t>
  </si>
  <si>
    <t>Row Labels</t>
  </si>
  <si>
    <t>Sum of Sales</t>
  </si>
  <si>
    <t>Sum of Sales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</si>
</sst>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164" formatCode="0.0"/>
    <numFmt numFmtId="165" formatCode="d/m/yyyy"/>
    <numFmt numFmtId="166" formatCode="dd\-mm\-yyyy"/>
    <numFmt numFmtId="167" formatCode="d\-m\-yyyy"/>
    <numFmt numFmtId="168" formatCode="_(&quot;$&quot;* #,##0_);_(&quot;$&quot;* \(#,##0\);_(&quot;$&quot;* &quot;-&quot;??_);_(@_)"/>
    <numFmt numFmtId="169" formatCode="000\-00\-0000"/>
    <numFmt numFmtId="170" formatCode="[$Rs]#,##0.00"/>
    <numFmt numFmtId="171" formatCode="&quot;$&quot;#,##0.00_);[Red]\(&quot;$&quot;#,##0.00\)"/>
    <numFmt numFmtId="172" formatCode="&quot;$&quot;#,##0"/>
    <numFmt numFmtId="173" formatCode="&quot;$&quot;#,##0.00"/>
    <numFmt numFmtId="174" formatCode="&quot;$&quot;#,##0_);[Red]\(&quot;$&quot;#,##0\)"/>
    <numFmt numFmtId="175" formatCode="_(* #,##0_);_(* \(#,##0\);_(* &quot;-&quot;??_);_(@_)"/>
    <numFmt numFmtId="176" formatCode="&quot;₹&quot;\ #,##0.00"/>
    <numFmt numFmtId="177" formatCode="_ [$रु-439]\ * #,##0.00_ ;_ [$रु-439]\ * \-#,##0.00_ ;_ [$रु-439]\ * &quot;-&quot;??_ ;_ @_ "/>
    <numFmt numFmtId="178" formatCode="_ &quot;रु&quot;\ * #,##0.00_ ;_ &quot;रु&quot;\ * \-#,##0.00_ ;_ &quot;रु&quot;\ * &quot;-&quot;??_ ;_ @_ "/>
    <numFmt numFmtId="179" formatCode="_ * #,##0_ ;_ * \-#,##0_ ;_ * &quot;-&quot;??_ ;_ @_ "/>
    <numFmt numFmtId="180" formatCode="0.000"/>
    <numFmt numFmtId="181" formatCode="&quot;£&quot;#,##0.00_);[Red]\(&quot;£&quot;#,##0.00\)"/>
    <numFmt numFmtId="182" formatCode="&quot;£&quot;#,##0_);[Red]\(&quot;£&quot;#,##0\)"/>
  </numFmts>
  <fonts count="4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sz val="11"/>
      <color theme="1"/>
      <name val="Arial"/>
    </font>
    <font>
      <sz val="11"/>
      <color rgb="FFFF0000"/>
      <name val="Calibri"/>
    </font>
    <font>
      <sz val="11"/>
      <name val="Calibri"/>
    </font>
    <font>
      <sz val="10"/>
      <color theme="1"/>
      <name val="Arial"/>
    </font>
    <font>
      <sz val="10"/>
      <color rgb="FF800080"/>
      <name val="Arial"/>
    </font>
    <font>
      <sz val="10"/>
      <color rgb="FF0000FF"/>
      <name val="Arial"/>
    </font>
    <font>
      <b/>
      <sz val="10"/>
      <color theme="1"/>
      <name val="Arial"/>
    </font>
    <font>
      <b/>
      <sz val="12"/>
      <color theme="1"/>
      <name val="Arial"/>
    </font>
    <font>
      <sz val="10"/>
      <color theme="1"/>
      <name val="Calibri"/>
    </font>
    <font>
      <b/>
      <sz val="10"/>
      <color theme="1"/>
      <name val="Calibri"/>
    </font>
    <font>
      <b/>
      <u/>
      <sz val="11"/>
      <color rgb="FFFF0000"/>
      <name val="Calibri"/>
    </font>
    <font>
      <b/>
      <sz val="11"/>
      <color rgb="FFFF0000"/>
      <name val="Calibri"/>
    </font>
    <font>
      <b/>
      <sz val="11"/>
      <color theme="0"/>
      <name val="Calibri"/>
    </font>
    <font>
      <sz val="9"/>
      <color rgb="FF000000"/>
      <name val="&quot;Google Sans Mono&quot;"/>
    </font>
    <font>
      <b/>
      <sz val="10"/>
      <color rgb="FFFFFFFF"/>
      <name val="Arial"/>
    </font>
    <font>
      <sz val="12"/>
      <color rgb="FFFF0000"/>
      <name val="Calibri"/>
    </font>
    <font>
      <b/>
      <sz val="11"/>
      <color rgb="FFFFFFFF"/>
      <name val="Calibri"/>
    </font>
    <font>
      <sz val="10"/>
      <color theme="1"/>
      <name val="Verdana"/>
    </font>
    <font>
      <b/>
      <u/>
      <sz val="16"/>
      <color theme="1"/>
      <name val="Arimo"/>
    </font>
    <font>
      <sz val="11"/>
      <color rgb="FFFFFF00"/>
      <name val="Calibri"/>
    </font>
    <font>
      <b/>
      <sz val="11"/>
      <color rgb="FFFFFF00"/>
      <name val="Calibri"/>
    </font>
    <font>
      <b/>
      <i/>
      <u/>
      <sz val="14"/>
      <color theme="1"/>
      <name val="Calibri"/>
    </font>
    <font>
      <b/>
      <i/>
      <u/>
      <sz val="11"/>
      <color theme="1"/>
      <name val="Calibri"/>
    </font>
    <font>
      <b/>
      <sz val="11"/>
      <color theme="1"/>
      <name val="Arial"/>
    </font>
    <font>
      <b/>
      <sz val="10"/>
      <color rgb="FF000000"/>
      <name val="Arial"/>
    </font>
    <font>
      <sz val="8"/>
      <color rgb="FF0000FF"/>
      <name val="Arial Narrow"/>
    </font>
    <font>
      <i/>
      <sz val="10"/>
      <color theme="1"/>
      <name val="Arial"/>
    </font>
    <font>
      <b/>
      <sz val="10"/>
      <color rgb="FFFF0000"/>
      <name val="Arial"/>
    </font>
    <font>
      <b/>
      <i/>
      <sz val="10"/>
      <color theme="1"/>
      <name val="Arial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800000"/>
        <bgColor rgb="FF800000"/>
      </patternFill>
    </fill>
    <fill>
      <patternFill patternType="solid">
        <fgColor rgb="FF000000"/>
        <bgColor rgb="FF000000"/>
      </patternFill>
    </fill>
    <fill>
      <patternFill patternType="solid">
        <fgColor rgb="FF00CCFF"/>
        <bgColor rgb="FF00CCFF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FFCC00"/>
        <bgColor rgb="FFFFCC00"/>
      </patternFill>
    </fill>
    <fill>
      <patternFill patternType="solid">
        <fgColor theme="5"/>
        <bgColor theme="5"/>
      </patternFill>
    </fill>
    <fill>
      <patternFill patternType="solid">
        <fgColor rgb="FFF2DBDB"/>
        <bgColor rgb="FFF2DBDB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CC99"/>
        <bgColor rgb="FFFFCC99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9594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uble">
        <color rgb="FF008000"/>
      </left>
      <right style="thin">
        <color rgb="FF000000"/>
      </right>
      <top style="double">
        <color rgb="FF008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8000"/>
      </top>
      <bottom style="thin">
        <color rgb="FF000000"/>
      </bottom>
      <diagonal/>
    </border>
    <border>
      <left style="thin">
        <color rgb="FF000000"/>
      </left>
      <right style="double">
        <color rgb="FF008000"/>
      </right>
      <top style="double">
        <color rgb="FF008000"/>
      </top>
      <bottom style="thin">
        <color rgb="FF000000"/>
      </bottom>
      <diagonal/>
    </border>
    <border>
      <left style="double">
        <color rgb="FF008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8000"/>
      </right>
      <top style="thin">
        <color rgb="FF000000"/>
      </top>
      <bottom style="thin">
        <color rgb="FF000000"/>
      </bottom>
      <diagonal/>
    </border>
    <border>
      <left style="double">
        <color rgb="FF008000"/>
      </left>
      <right style="thin">
        <color rgb="FF000000"/>
      </right>
      <top style="thin">
        <color rgb="FF000000"/>
      </top>
      <bottom style="double">
        <color rgb="FF008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8000"/>
      </bottom>
      <diagonal/>
    </border>
    <border>
      <left style="double">
        <color rgb="FFFF00FF"/>
      </left>
      <right style="double">
        <color rgb="FFFF00FF"/>
      </right>
      <top style="double">
        <color rgb="FFFF00FF"/>
      </top>
      <bottom style="thin">
        <color rgb="FF000000"/>
      </bottom>
      <diagonal/>
    </border>
    <border>
      <left style="double">
        <color rgb="FFFF00FF"/>
      </left>
      <right style="double">
        <color rgb="FFFF00FF"/>
      </right>
      <top style="thin">
        <color rgb="FF000000"/>
      </top>
      <bottom style="double">
        <color rgb="FFFF00FF"/>
      </bottom>
      <diagonal/>
    </border>
    <border>
      <left style="double">
        <color rgb="FFFF00FF"/>
      </left>
      <right style="thin">
        <color rgb="FF000000"/>
      </right>
      <top style="double">
        <color rgb="FFFF00FF"/>
      </top>
      <bottom style="thin">
        <color rgb="FF000000"/>
      </bottom>
      <diagonal/>
    </border>
    <border>
      <left style="thin">
        <color rgb="FF000000"/>
      </left>
      <right style="double">
        <color rgb="FFFF00FF"/>
      </right>
      <top style="double">
        <color rgb="FFFF00FF"/>
      </top>
      <bottom style="thin">
        <color rgb="FF000000"/>
      </bottom>
      <diagonal/>
    </border>
    <border>
      <left style="double">
        <color rgb="FFFF00FF"/>
      </left>
      <right style="thin">
        <color rgb="FF000000"/>
      </right>
      <top style="thin">
        <color rgb="FF000000"/>
      </top>
      <bottom style="double">
        <color rgb="FFFF00FF"/>
      </bottom>
      <diagonal/>
    </border>
    <border>
      <left style="thin">
        <color rgb="FF000000"/>
      </left>
      <right style="double">
        <color rgb="FFFF00FF"/>
      </right>
      <top style="thin">
        <color rgb="FF000000"/>
      </top>
      <bottom style="double">
        <color rgb="FFFF00FF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FF00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FF00FF"/>
      </bottom>
      <diagonal/>
    </border>
    <border>
      <left style="double">
        <color rgb="FFFF00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FF00FF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352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2" borderId="0" xfId="0" applyFont="1" applyFill="1"/>
    <xf numFmtId="0" fontId="3" fillId="0" borderId="0" xfId="0" applyFont="1"/>
    <xf numFmtId="0" fontId="4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/>
    <xf numFmtId="0" fontId="6" fillId="0" borderId="0" xfId="0" applyFont="1" applyAlignment="1">
      <alignment vertical="center"/>
    </xf>
    <xf numFmtId="0" fontId="8" fillId="0" borderId="0" xfId="0" applyFont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7" fillId="0" borderId="2" xfId="0" applyFont="1" applyBorder="1"/>
    <xf numFmtId="0" fontId="7" fillId="0" borderId="1" xfId="0" applyFont="1" applyBorder="1"/>
    <xf numFmtId="0" fontId="7" fillId="0" borderId="8" xfId="0" applyFont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6" fillId="0" borderId="1" xfId="0" applyFont="1" applyBorder="1"/>
    <xf numFmtId="0" fontId="7" fillId="0" borderId="0" xfId="0" applyFont="1"/>
    <xf numFmtId="0" fontId="7" fillId="0" borderId="5" xfId="0" applyFont="1" applyBorder="1"/>
    <xf numFmtId="0" fontId="7" fillId="0" borderId="6" xfId="0" applyFont="1" applyBorder="1"/>
    <xf numFmtId="0" fontId="7" fillId="0" borderId="8" xfId="0" applyFont="1" applyBorder="1"/>
    <xf numFmtId="0" fontId="5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2" fontId="7" fillId="0" borderId="12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66" fontId="6" fillId="0" borderId="0" xfId="0" applyNumberFormat="1" applyFont="1"/>
    <xf numFmtId="167" fontId="6" fillId="0" borderId="0" xfId="0" applyNumberFormat="1" applyFont="1"/>
    <xf numFmtId="165" fontId="7" fillId="0" borderId="1" xfId="0" applyNumberFormat="1" applyFont="1" applyBorder="1"/>
    <xf numFmtId="14" fontId="6" fillId="0" borderId="0" xfId="0" applyNumberFormat="1" applyFont="1"/>
    <xf numFmtId="165" fontId="7" fillId="0" borderId="4" xfId="0" applyNumberFormat="1" applyFont="1" applyBorder="1"/>
    <xf numFmtId="0" fontId="12" fillId="0" borderId="0" xfId="0" applyFont="1"/>
    <xf numFmtId="0" fontId="5" fillId="0" borderId="1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5" fillId="3" borderId="15" xfId="0" applyFont="1" applyFill="1" applyBorder="1"/>
    <xf numFmtId="0" fontId="18" fillId="4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168" fontId="7" fillId="0" borderId="1" xfId="0" applyNumberFormat="1" applyFont="1" applyBorder="1" applyAlignment="1">
      <alignment horizontal="left"/>
    </xf>
    <xf numFmtId="0" fontId="5" fillId="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19" fillId="0" borderId="1" xfId="0" applyFont="1" applyBorder="1"/>
    <xf numFmtId="169" fontId="19" fillId="0" borderId="1" xfId="0" applyNumberFormat="1" applyFont="1" applyBorder="1" applyAlignment="1">
      <alignment horizontal="center"/>
    </xf>
    <xf numFmtId="165" fontId="19" fillId="0" borderId="1" xfId="0" applyNumberFormat="1" applyFont="1" applyBorder="1"/>
    <xf numFmtId="170" fontId="19" fillId="0" borderId="1" xfId="0" applyNumberFormat="1" applyFont="1" applyBorder="1"/>
    <xf numFmtId="0" fontId="20" fillId="0" borderId="0" xfId="0" applyFont="1" applyAlignment="1">
      <alignment horizontal="left"/>
    </xf>
    <xf numFmtId="169" fontId="6" fillId="0" borderId="0" xfId="0" applyNumberFormat="1" applyFont="1"/>
    <xf numFmtId="0" fontId="21" fillId="0" borderId="0" xfId="0" applyFont="1"/>
    <xf numFmtId="0" fontId="22" fillId="0" borderId="0" xfId="0" applyFont="1" applyAlignment="1">
      <alignment horizontal="center"/>
    </xf>
    <xf numFmtId="171" fontId="7" fillId="0" borderId="0" xfId="0" applyNumberFormat="1" applyFont="1" applyAlignment="1">
      <alignment horizontal="center"/>
    </xf>
    <xf numFmtId="0" fontId="5" fillId="9" borderId="15" xfId="0" applyFont="1" applyFill="1" applyBorder="1"/>
    <xf numFmtId="0" fontId="7" fillId="9" borderId="15" xfId="0" applyFont="1" applyFill="1" applyBorder="1"/>
    <xf numFmtId="0" fontId="5" fillId="0" borderId="0" xfId="0" applyFont="1" applyAlignment="1">
      <alignment horizontal="left"/>
    </xf>
    <xf numFmtId="171" fontId="7" fillId="0" borderId="0" xfId="0" applyNumberFormat="1" applyFont="1"/>
    <xf numFmtId="171" fontId="6" fillId="0" borderId="0" xfId="0" applyNumberFormat="1" applyFont="1"/>
    <xf numFmtId="0" fontId="7" fillId="5" borderId="1" xfId="0" applyFont="1" applyFill="1" applyBorder="1"/>
    <xf numFmtId="172" fontId="7" fillId="0" borderId="1" xfId="0" applyNumberFormat="1" applyFont="1" applyBorder="1"/>
    <xf numFmtId="0" fontId="23" fillId="10" borderId="1" xfId="0" applyFont="1" applyFill="1" applyBorder="1"/>
    <xf numFmtId="0" fontId="23" fillId="10" borderId="1" xfId="0" applyFont="1" applyFill="1" applyBorder="1" applyAlignment="1">
      <alignment horizontal="center"/>
    </xf>
    <xf numFmtId="0" fontId="23" fillId="10" borderId="16" xfId="0" applyFont="1" applyFill="1" applyBorder="1" applyAlignment="1">
      <alignment horizontal="center"/>
    </xf>
    <xf numFmtId="0" fontId="24" fillId="11" borderId="0" xfId="0" applyFont="1" applyFill="1" applyAlignment="1">
      <alignment horizontal="left"/>
    </xf>
    <xf numFmtId="0" fontId="7" fillId="5" borderId="15" xfId="0" applyFont="1" applyFill="1" applyBorder="1"/>
    <xf numFmtId="0" fontId="5" fillId="3" borderId="1" xfId="0" applyFont="1" applyFill="1" applyBorder="1" applyAlignment="1">
      <alignment horizontal="center"/>
    </xf>
    <xf numFmtId="173" fontId="7" fillId="0" borderId="1" xfId="0" applyNumberFormat="1" applyFont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74" fontId="14" fillId="0" borderId="1" xfId="0" applyNumberFormat="1" applyFont="1" applyBorder="1" applyAlignment="1">
      <alignment horizontal="center"/>
    </xf>
    <xf numFmtId="0" fontId="7" fillId="0" borderId="17" xfId="0" applyFont="1" applyBorder="1"/>
    <xf numFmtId="172" fontId="7" fillId="0" borderId="4" xfId="0" applyNumberFormat="1" applyFont="1" applyBorder="1"/>
    <xf numFmtId="0" fontId="7" fillId="0" borderId="12" xfId="0" applyFont="1" applyBorder="1"/>
    <xf numFmtId="0" fontId="5" fillId="0" borderId="1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3" borderId="1" xfId="0" applyFont="1" applyFill="1" applyBorder="1"/>
    <xf numFmtId="0" fontId="22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23" fillId="13" borderId="1" xfId="0" applyFont="1" applyFill="1" applyBorder="1"/>
    <xf numFmtId="0" fontId="23" fillId="13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175" fontId="22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75" fontId="7" fillId="0" borderId="1" xfId="0" applyNumberFormat="1" applyFont="1" applyBorder="1" applyAlignment="1">
      <alignment vertical="center"/>
    </xf>
    <xf numFmtId="175" fontId="22" fillId="3" borderId="1" xfId="0" applyNumberFormat="1" applyFont="1" applyFill="1" applyBorder="1" applyAlignment="1">
      <alignment vertical="center"/>
    </xf>
    <xf numFmtId="175" fontId="7" fillId="0" borderId="1" xfId="0" applyNumberFormat="1" applyFont="1" applyBorder="1" applyAlignment="1">
      <alignment horizontal="center"/>
    </xf>
    <xf numFmtId="0" fontId="5" fillId="14" borderId="18" xfId="0" applyFont="1" applyFill="1" applyBorder="1" applyAlignment="1">
      <alignment horizontal="center" vertical="center" wrapText="1"/>
    </xf>
    <xf numFmtId="176" fontId="5" fillId="14" borderId="18" xfId="0" applyNumberFormat="1" applyFont="1" applyFill="1" applyBorder="1" applyAlignment="1">
      <alignment horizontal="center" vertical="center" wrapText="1"/>
    </xf>
    <xf numFmtId="165" fontId="6" fillId="0" borderId="0" xfId="0" applyNumberFormat="1" applyFont="1"/>
    <xf numFmtId="177" fontId="6" fillId="0" borderId="0" xfId="0" applyNumberFormat="1" applyFont="1"/>
    <xf numFmtId="4" fontId="6" fillId="0" borderId="0" xfId="0" applyNumberFormat="1" applyFont="1"/>
    <xf numFmtId="178" fontId="6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5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wrapText="1"/>
    </xf>
    <xf numFmtId="176" fontId="5" fillId="14" borderId="1" xfId="0" applyNumberFormat="1" applyFont="1" applyFill="1" applyBorder="1" applyAlignment="1">
      <alignment wrapText="1"/>
    </xf>
    <xf numFmtId="177" fontId="7" fillId="0" borderId="1" xfId="0" applyNumberFormat="1" applyFont="1" applyBorder="1"/>
    <xf numFmtId="4" fontId="7" fillId="0" borderId="1" xfId="0" applyNumberFormat="1" applyFont="1" applyBorder="1"/>
    <xf numFmtId="178" fontId="7" fillId="0" borderId="1" xfId="0" applyNumberFormat="1" applyFont="1" applyBorder="1"/>
    <xf numFmtId="0" fontId="4" fillId="1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179" fontId="8" fillId="0" borderId="1" xfId="0" applyNumberFormat="1" applyFont="1" applyBorder="1" applyAlignment="1">
      <alignment horizontal="center"/>
    </xf>
    <xf numFmtId="0" fontId="26" fillId="0" borderId="0" xfId="0" applyFont="1" applyAlignment="1">
      <alignment horizontal="center"/>
    </xf>
    <xf numFmtId="179" fontId="26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left" vertical="top"/>
    </xf>
    <xf numFmtId="0" fontId="5" fillId="14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27" fillId="15" borderId="1" xfId="0" applyFont="1" applyFill="1" applyBorder="1" applyAlignment="1">
      <alignment horizontal="center"/>
    </xf>
    <xf numFmtId="0" fontId="23" fillId="15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2" fontId="7" fillId="16" borderId="1" xfId="0" applyNumberFormat="1" applyFont="1" applyFill="1" applyBorder="1" applyAlignment="1">
      <alignment horizontal="center"/>
    </xf>
    <xf numFmtId="0" fontId="23" fillId="17" borderId="1" xfId="0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5" fillId="1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23" fillId="15" borderId="1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/>
    <xf numFmtId="0" fontId="5" fillId="19" borderId="1" xfId="0" applyFont="1" applyFill="1" applyBorder="1" applyAlignment="1">
      <alignment horizontal="center"/>
    </xf>
    <xf numFmtId="0" fontId="7" fillId="20" borderId="1" xfId="0" applyFont="1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/>
    </xf>
    <xf numFmtId="0" fontId="7" fillId="21" borderId="1" xfId="0" applyFont="1" applyFill="1" applyBorder="1" applyAlignment="1">
      <alignment horizontal="center"/>
    </xf>
    <xf numFmtId="0" fontId="6" fillId="2" borderId="1" xfId="0" applyFont="1" applyFill="1" applyBorder="1"/>
    <xf numFmtId="0" fontId="6" fillId="22" borderId="1" xfId="0" applyFont="1" applyFill="1" applyBorder="1"/>
    <xf numFmtId="0" fontId="7" fillId="3" borderId="1" xfId="0" applyFont="1" applyFill="1" applyBorder="1" applyAlignment="1">
      <alignment horizontal="center"/>
    </xf>
    <xf numFmtId="0" fontId="6" fillId="3" borderId="1" xfId="0" applyFont="1" applyFill="1" applyBorder="1"/>
    <xf numFmtId="179" fontId="7" fillId="0" borderId="1" xfId="0" applyNumberFormat="1" applyFont="1" applyBorder="1" applyAlignment="1">
      <alignment horizontal="center"/>
    </xf>
    <xf numFmtId="179" fontId="7" fillId="0" borderId="0" xfId="0" applyNumberFormat="1" applyFont="1"/>
    <xf numFmtId="0" fontId="5" fillId="14" borderId="1" xfId="0" applyFont="1" applyFill="1" applyBorder="1"/>
    <xf numFmtId="179" fontId="5" fillId="14" borderId="1" xfId="0" applyNumberFormat="1" applyFont="1" applyFill="1" applyBorder="1"/>
    <xf numFmtId="165" fontId="7" fillId="0" borderId="1" xfId="0" applyNumberFormat="1" applyFont="1" applyBorder="1" applyAlignment="1">
      <alignment horizontal="left"/>
    </xf>
    <xf numFmtId="179" fontId="7" fillId="0" borderId="1" xfId="0" applyNumberFormat="1" applyFont="1" applyBorder="1"/>
    <xf numFmtId="179" fontId="5" fillId="16" borderId="15" xfId="0" applyNumberFormat="1" applyFont="1" applyFill="1" applyBorder="1" applyAlignment="1">
      <alignment wrapText="1"/>
    </xf>
    <xf numFmtId="0" fontId="7" fillId="16" borderId="1" xfId="0" applyFont="1" applyFill="1" applyBorder="1"/>
    <xf numFmtId="0" fontId="23" fillId="15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9" fontId="19" fillId="0" borderId="1" xfId="0" applyNumberFormat="1" applyFont="1" applyBorder="1" applyAlignment="1">
      <alignment horizontal="center" vertical="center"/>
    </xf>
    <xf numFmtId="0" fontId="20" fillId="17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49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49" fontId="28" fillId="0" borderId="1" xfId="0" applyNumberFormat="1" applyFont="1" applyBorder="1" applyAlignment="1">
      <alignment horizontal="center" wrapText="1"/>
    </xf>
    <xf numFmtId="0" fontId="30" fillId="17" borderId="1" xfId="0" applyFont="1" applyFill="1" applyBorder="1"/>
    <xf numFmtId="0" fontId="31" fillId="17" borderId="1" xfId="0" applyFont="1" applyFill="1" applyBorder="1"/>
    <xf numFmtId="0" fontId="33" fillId="0" borderId="0" xfId="0" applyFont="1" applyAlignment="1">
      <alignment horizontal="center"/>
    </xf>
    <xf numFmtId="0" fontId="22" fillId="3" borderId="15" xfId="0" applyFont="1" applyFill="1" applyBorder="1"/>
    <xf numFmtId="0" fontId="34" fillId="23" borderId="24" xfId="0" applyFont="1" applyFill="1" applyBorder="1"/>
    <xf numFmtId="0" fontId="34" fillId="23" borderId="1" xfId="0" applyFont="1" applyFill="1" applyBorder="1"/>
    <xf numFmtId="0" fontId="34" fillId="23" borderId="1" xfId="0" applyFont="1" applyFill="1" applyBorder="1" applyAlignment="1">
      <alignment horizontal="right"/>
    </xf>
    <xf numFmtId="0" fontId="34" fillId="23" borderId="16" xfId="0" applyFont="1" applyFill="1" applyBorder="1"/>
    <xf numFmtId="0" fontId="34" fillId="23" borderId="16" xfId="0" applyFont="1" applyFill="1" applyBorder="1" applyAlignment="1">
      <alignment horizontal="center"/>
    </xf>
    <xf numFmtId="0" fontId="34" fillId="23" borderId="15" xfId="0" applyFont="1" applyFill="1" applyBorder="1"/>
    <xf numFmtId="9" fontId="6" fillId="0" borderId="0" xfId="0" applyNumberFormat="1" applyFont="1"/>
    <xf numFmtId="0" fontId="14" fillId="16" borderId="24" xfId="0" applyFont="1" applyFill="1" applyBorder="1"/>
    <xf numFmtId="0" fontId="14" fillId="16" borderId="1" xfId="0" applyFont="1" applyFill="1" applyBorder="1"/>
    <xf numFmtId="3" fontId="14" fillId="16" borderId="1" xfId="0" applyNumberFormat="1" applyFont="1" applyFill="1" applyBorder="1"/>
    <xf numFmtId="9" fontId="7" fillId="16" borderId="1" xfId="0" applyNumberFormat="1" applyFont="1" applyFill="1" applyBorder="1"/>
    <xf numFmtId="9" fontId="7" fillId="0" borderId="1" xfId="0" applyNumberFormat="1" applyFont="1" applyBorder="1"/>
    <xf numFmtId="3" fontId="14" fillId="16" borderId="1" xfId="0" applyNumberFormat="1" applyFont="1" applyFill="1" applyBorder="1" applyAlignment="1">
      <alignment horizontal="right"/>
    </xf>
    <xf numFmtId="15" fontId="15" fillId="0" borderId="1" xfId="0" applyNumberFormat="1" applyFont="1" applyBorder="1" applyAlignment="1">
      <alignment horizontal="center"/>
    </xf>
    <xf numFmtId="0" fontId="16" fillId="0" borderId="0" xfId="0" applyFont="1"/>
    <xf numFmtId="0" fontId="35" fillId="0" borderId="25" xfId="0" applyFont="1" applyBorder="1"/>
    <xf numFmtId="0" fontId="7" fillId="0" borderId="25" xfId="0" applyFont="1" applyBorder="1"/>
    <xf numFmtId="0" fontId="14" fillId="0" borderId="1" xfId="0" applyFont="1" applyBorder="1"/>
    <xf numFmtId="15" fontId="15" fillId="0" borderId="1" xfId="0" applyNumberFormat="1" applyFont="1" applyBorder="1"/>
    <xf numFmtId="0" fontId="16" fillId="0" borderId="1" xfId="0" applyFont="1" applyBorder="1"/>
    <xf numFmtId="0" fontId="14" fillId="0" borderId="0" xfId="0" applyFont="1"/>
    <xf numFmtId="0" fontId="36" fillId="0" borderId="0" xfId="0" applyFont="1"/>
    <xf numFmtId="0" fontId="37" fillId="0" borderId="0" xfId="0" applyFont="1" applyAlignment="1">
      <alignment horizontal="right"/>
    </xf>
    <xf numFmtId="0" fontId="38" fillId="3" borderId="26" xfId="0" applyFont="1" applyFill="1" applyBorder="1" applyAlignment="1">
      <alignment horizontal="center" wrapText="1"/>
    </xf>
    <xf numFmtId="0" fontId="38" fillId="3" borderId="27" xfId="0" applyFont="1" applyFill="1" applyBorder="1" applyAlignment="1">
      <alignment horizontal="center" wrapText="1"/>
    </xf>
    <xf numFmtId="0" fontId="38" fillId="3" borderId="28" xfId="0" applyFont="1" applyFill="1" applyBorder="1" applyAlignment="1">
      <alignment horizontal="center" wrapText="1"/>
    </xf>
    <xf numFmtId="0" fontId="14" fillId="0" borderId="29" xfId="0" applyFont="1" applyBorder="1" applyAlignment="1">
      <alignment horizontal="center"/>
    </xf>
    <xf numFmtId="181" fontId="14" fillId="0" borderId="1" xfId="0" applyNumberFormat="1" applyFont="1" applyBorder="1" applyAlignment="1">
      <alignment horizontal="center"/>
    </xf>
    <xf numFmtId="181" fontId="14" fillId="0" borderId="30" xfId="0" applyNumberFormat="1" applyFont="1" applyBorder="1" applyAlignment="1">
      <alignment horizontal="right"/>
    </xf>
    <xf numFmtId="0" fontId="14" fillId="0" borderId="31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181" fontId="14" fillId="0" borderId="32" xfId="0" applyNumberFormat="1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37" fillId="0" borderId="0" xfId="0" applyFont="1"/>
    <xf numFmtId="0" fontId="7" fillId="0" borderId="0" xfId="0" applyFont="1" applyAlignment="1">
      <alignment horizontal="right"/>
    </xf>
    <xf numFmtId="0" fontId="15" fillId="0" borderId="34" xfId="0" applyFont="1" applyBorder="1" applyAlignment="1">
      <alignment horizontal="center"/>
    </xf>
    <xf numFmtId="181" fontId="16" fillId="0" borderId="1" xfId="0" applyNumberFormat="1" applyFont="1" applyBorder="1" applyAlignment="1">
      <alignment horizontal="center"/>
    </xf>
    <xf numFmtId="0" fontId="17" fillId="0" borderId="0" xfId="0" applyFont="1"/>
    <xf numFmtId="0" fontId="14" fillId="0" borderId="35" xfId="0" applyFont="1" applyBorder="1" applyAlignment="1">
      <alignment horizontal="center"/>
    </xf>
    <xf numFmtId="0" fontId="14" fillId="0" borderId="36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7" fillId="0" borderId="39" xfId="0" applyFont="1" applyBorder="1"/>
    <xf numFmtId="0" fontId="7" fillId="0" borderId="39" xfId="0" applyFont="1" applyBorder="1"/>
    <xf numFmtId="0" fontId="15" fillId="7" borderId="37" xfId="0" applyFont="1" applyFill="1" applyBorder="1" applyAlignment="1">
      <alignment horizontal="center"/>
    </xf>
    <xf numFmtId="0" fontId="15" fillId="7" borderId="38" xfId="0" applyFont="1" applyFill="1" applyBorder="1" applyAlignment="1">
      <alignment horizontal="center"/>
    </xf>
    <xf numFmtId="181" fontId="16" fillId="7" borderId="1" xfId="0" applyNumberFormat="1" applyFont="1" applyFill="1" applyBorder="1" applyAlignment="1">
      <alignment horizontal="center"/>
    </xf>
    <xf numFmtId="0" fontId="14" fillId="0" borderId="36" xfId="0" applyFont="1" applyBorder="1" applyAlignment="1">
      <alignment horizontal="center" wrapText="1"/>
    </xf>
    <xf numFmtId="0" fontId="14" fillId="0" borderId="40" xfId="0" applyFont="1" applyBorder="1" applyAlignment="1">
      <alignment horizontal="center"/>
    </xf>
    <xf numFmtId="0" fontId="15" fillId="0" borderId="41" xfId="0" applyFont="1" applyBorder="1" applyAlignment="1">
      <alignment horizontal="center"/>
    </xf>
    <xf numFmtId="0" fontId="17" fillId="3" borderId="26" xfId="0" applyFont="1" applyFill="1" applyBorder="1" applyAlignment="1">
      <alignment horizontal="center" wrapText="1"/>
    </xf>
    <xf numFmtId="0" fontId="17" fillId="3" borderId="27" xfId="0" applyFont="1" applyFill="1" applyBorder="1" applyAlignment="1">
      <alignment horizontal="center" wrapText="1"/>
    </xf>
    <xf numFmtId="0" fontId="17" fillId="3" borderId="28" xfId="0" applyFont="1" applyFill="1" applyBorder="1" applyAlignment="1">
      <alignment horizontal="center" wrapText="1"/>
    </xf>
    <xf numFmtId="0" fontId="15" fillId="0" borderId="42" xfId="0" applyFont="1" applyBorder="1" applyAlignment="1">
      <alignment horizontal="center"/>
    </xf>
    <xf numFmtId="0" fontId="15" fillId="0" borderId="43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4" fillId="0" borderId="1" xfId="0" applyFont="1" applyBorder="1" applyAlignment="1">
      <alignment horizontal="right"/>
    </xf>
    <xf numFmtId="182" fontId="15" fillId="0" borderId="1" xfId="0" applyNumberFormat="1" applyFont="1" applyBorder="1" applyAlignment="1">
      <alignment horizontal="center"/>
    </xf>
    <xf numFmtId="0" fontId="14" fillId="0" borderId="8" xfId="0" applyFont="1" applyBorder="1"/>
    <xf numFmtId="0" fontId="14" fillId="0" borderId="2" xfId="0" applyFont="1" applyBorder="1" applyAlignment="1">
      <alignment horizontal="right"/>
    </xf>
    <xf numFmtId="182" fontId="16" fillId="0" borderId="1" xfId="0" applyNumberFormat="1" applyFont="1" applyBorder="1" applyAlignment="1">
      <alignment horizontal="center"/>
    </xf>
    <xf numFmtId="182" fontId="6" fillId="0" borderId="0" xfId="0" applyNumberFormat="1" applyFont="1"/>
    <xf numFmtId="0" fontId="14" fillId="0" borderId="1" xfId="0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3" borderId="15" xfId="0" applyFont="1" applyFill="1" applyBorder="1" applyAlignment="1">
      <alignment horizontal="center"/>
    </xf>
    <xf numFmtId="0" fontId="15" fillId="0" borderId="1" xfId="0" applyFont="1" applyBorder="1"/>
    <xf numFmtId="0" fontId="0" fillId="0" borderId="44" xfId="0" applyBorder="1"/>
    <xf numFmtId="0" fontId="0" fillId="0" borderId="44" xfId="0" pivotButton="1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1" xfId="0" applyBorder="1"/>
    <xf numFmtId="0" fontId="42" fillId="0" borderId="0" xfId="0" applyFont="1" applyAlignment="1">
      <alignment horizontal="center"/>
    </xf>
    <xf numFmtId="0" fontId="40" fillId="0" borderId="0" xfId="0" applyFont="1"/>
    <xf numFmtId="0" fontId="2" fillId="0" borderId="0" xfId="0" applyFont="1"/>
    <xf numFmtId="0" fontId="43" fillId="0" borderId="0" xfId="0" applyFont="1"/>
    <xf numFmtId="0" fontId="41" fillId="0" borderId="4" xfId="0" applyFont="1" applyBorder="1"/>
    <xf numFmtId="0" fontId="42" fillId="0" borderId="0" xfId="0" applyFont="1" applyAlignment="1">
      <alignment horizontal="left"/>
    </xf>
    <xf numFmtId="0" fontId="0" fillId="0" borderId="56" xfId="0" applyBorder="1"/>
    <xf numFmtId="0" fontId="0" fillId="0" borderId="44" xfId="0" applyBorder="1" applyAlignment="1">
      <alignment horizontal="left"/>
    </xf>
    <xf numFmtId="173" fontId="0" fillId="0" borderId="56" xfId="0" applyNumberFormat="1" applyBorder="1"/>
    <xf numFmtId="0" fontId="0" fillId="0" borderId="54" xfId="0" applyBorder="1" applyAlignment="1">
      <alignment horizontal="left"/>
    </xf>
    <xf numFmtId="173" fontId="0" fillId="0" borderId="57" xfId="0" applyNumberFormat="1" applyBorder="1"/>
    <xf numFmtId="0" fontId="0" fillId="0" borderId="51" xfId="0" applyBorder="1" applyAlignment="1">
      <alignment horizontal="left"/>
    </xf>
    <xf numFmtId="173" fontId="0" fillId="0" borderId="58" xfId="0" applyNumberFormat="1" applyBorder="1"/>
    <xf numFmtId="0" fontId="0" fillId="0" borderId="55" xfId="0" applyBorder="1" applyAlignment="1">
      <alignment horizontal="left"/>
    </xf>
    <xf numFmtId="173" fontId="0" fillId="0" borderId="59" xfId="0" applyNumberFormat="1" applyBorder="1"/>
    <xf numFmtId="174" fontId="0" fillId="0" borderId="56" xfId="0" applyNumberFormat="1" applyBorder="1"/>
    <xf numFmtId="174" fontId="0" fillId="0" borderId="57" xfId="0" applyNumberFormat="1" applyBorder="1"/>
    <xf numFmtId="174" fontId="0" fillId="0" borderId="58" xfId="0" applyNumberFormat="1" applyBorder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13" fillId="0" borderId="13" xfId="0" applyFont="1" applyBorder="1"/>
    <xf numFmtId="0" fontId="5" fillId="0" borderId="8" xfId="0" applyFont="1" applyBorder="1" applyAlignment="1">
      <alignment horizontal="center"/>
    </xf>
    <xf numFmtId="0" fontId="13" fillId="0" borderId="14" xfId="0" applyFont="1" applyBorder="1"/>
    <xf numFmtId="0" fontId="13" fillId="0" borderId="2" xfId="0" applyFont="1" applyBorder="1"/>
    <xf numFmtId="0" fontId="17" fillId="0" borderId="0" xfId="0" applyFont="1" applyAlignment="1">
      <alignment horizontal="left"/>
    </xf>
    <xf numFmtId="0" fontId="23" fillId="17" borderId="8" xfId="0" applyFont="1" applyFill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0" fontId="23" fillId="17" borderId="8" xfId="0" applyFont="1" applyFill="1" applyBorder="1" applyAlignment="1">
      <alignment horizontal="center" wrapText="1"/>
    </xf>
    <xf numFmtId="180" fontId="7" fillId="0" borderId="8" xfId="0" applyNumberFormat="1" applyFont="1" applyBorder="1" applyAlignment="1">
      <alignment horizontal="center" vertical="center"/>
    </xf>
    <xf numFmtId="0" fontId="7" fillId="16" borderId="19" xfId="0" applyFont="1" applyFill="1" applyBorder="1" applyAlignment="1">
      <alignment horizontal="center"/>
    </xf>
    <xf numFmtId="0" fontId="13" fillId="0" borderId="20" xfId="0" applyFont="1" applyBorder="1"/>
    <xf numFmtId="0" fontId="13" fillId="0" borderId="21" xfId="0" applyFont="1" applyBorder="1"/>
    <xf numFmtId="0" fontId="7" fillId="0" borderId="8" xfId="0" applyFont="1" applyBorder="1" applyAlignment="1">
      <alignment horizontal="center" vertical="top"/>
    </xf>
    <xf numFmtId="0" fontId="23" fillId="17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5" fillId="18" borderId="8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3" xfId="0" applyFont="1" applyBorder="1" applyAlignment="1">
      <alignment horizontal="center"/>
    </xf>
    <xf numFmtId="0" fontId="20" fillId="14" borderId="8" xfId="0" applyFont="1" applyFill="1" applyBorder="1" applyAlignment="1">
      <alignment horizontal="center" vertical="center"/>
    </xf>
    <xf numFmtId="11" fontId="20" fillId="14" borderId="8" xfId="0" applyNumberFormat="1" applyFont="1" applyFill="1" applyBorder="1" applyAlignment="1">
      <alignment horizontal="center" vertical="center"/>
    </xf>
    <xf numFmtId="0" fontId="23" fillId="17" borderId="12" xfId="0" applyFont="1" applyFill="1" applyBorder="1" applyAlignment="1">
      <alignment horizontal="center" vertical="center" wrapText="1"/>
    </xf>
    <xf numFmtId="0" fontId="13" fillId="0" borderId="3" xfId="0" applyFont="1" applyBorder="1"/>
    <xf numFmtId="0" fontId="13" fillId="0" borderId="7" xfId="0" applyFont="1" applyBorder="1"/>
    <xf numFmtId="0" fontId="13" fillId="0" borderId="5" xfId="0" applyFont="1" applyBorder="1"/>
    <xf numFmtId="0" fontId="7" fillId="0" borderId="4" xfId="0" applyFont="1" applyBorder="1" applyAlignment="1">
      <alignment horizontal="center" vertical="center" wrapText="1"/>
    </xf>
    <xf numFmtId="0" fontId="13" fillId="0" borderId="6" xfId="0" applyFont="1" applyBorder="1"/>
    <xf numFmtId="0" fontId="7" fillId="0" borderId="4" xfId="0" applyFont="1" applyBorder="1" applyAlignment="1">
      <alignment horizontal="center"/>
    </xf>
    <xf numFmtId="0" fontId="27" fillId="17" borderId="12" xfId="0" applyFont="1" applyFill="1" applyBorder="1" applyAlignment="1">
      <alignment horizontal="center" vertical="center" wrapText="1"/>
    </xf>
    <xf numFmtId="0" fontId="23" fillId="15" borderId="8" xfId="0" applyFont="1" applyFill="1" applyBorder="1" applyAlignment="1">
      <alignment horizontal="center" vertical="center"/>
    </xf>
    <xf numFmtId="0" fontId="29" fillId="0" borderId="23" xfId="0" applyFont="1" applyBorder="1" applyAlignment="1">
      <alignment horizontal="center"/>
    </xf>
    <xf numFmtId="0" fontId="13" fillId="0" borderId="23" xfId="0" applyFont="1" applyBorder="1"/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0" fontId="0" fillId="0" borderId="44" xfId="0" applyNumberFormat="1" applyBorder="1"/>
    <xf numFmtId="0" fontId="0" fillId="0" borderId="47" xfId="0" applyNumberFormat="1" applyBorder="1"/>
    <xf numFmtId="0" fontId="0" fillId="0" borderId="48" xfId="0" applyNumberFormat="1" applyBorder="1"/>
    <xf numFmtId="0" fontId="0" fillId="0" borderId="49" xfId="0" applyNumberFormat="1" applyBorder="1"/>
    <xf numFmtId="0" fontId="0" fillId="0" borderId="21" xfId="0" applyNumberFormat="1" applyBorder="1"/>
    <xf numFmtId="0" fontId="0" fillId="0" borderId="50" xfId="0" applyNumberFormat="1" applyBorder="1"/>
    <xf numFmtId="0" fontId="0" fillId="0" borderId="51" xfId="0" applyNumberFormat="1" applyBorder="1"/>
    <xf numFmtId="0" fontId="0" fillId="0" borderId="52" xfId="0" applyNumberFormat="1" applyBorder="1"/>
    <xf numFmtId="0" fontId="0" fillId="0" borderId="53" xfId="0" applyNumberFormat="1" applyBorder="1"/>
    <xf numFmtId="0" fontId="45" fillId="0" borderId="0" xfId="0" applyFont="1"/>
    <xf numFmtId="0" fontId="42" fillId="0" borderId="0" xfId="0" applyFont="1"/>
    <xf numFmtId="0" fontId="1" fillId="0" borderId="0" xfId="0" applyFont="1"/>
    <xf numFmtId="0" fontId="41" fillId="0" borderId="1" xfId="0" applyFont="1" applyBorder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B7E1CD"/>
          <bgColor rgb="FFB7E1CD"/>
        </patternFill>
      </fill>
    </dxf>
    <dxf>
      <numFmt numFmtId="0" formatCode="General"/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/>
        <u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Assignment2-style" pivot="0" count="4" xr9:uid="{00000000-0011-0000-FFFF-FFFF00000000}">
      <tableStyleElement type="wholeTable" size="0" dxfId="17"/>
      <tableStyleElement type="headerRow" dxfId="16"/>
      <tableStyleElement type="firstRowStripe" dxfId="15"/>
      <tableStyleElement type="secondRowStripe" dxfId="14"/>
    </tableStyle>
    <tableStyle name="Assignment15-style" pivot="0" count="4" xr9:uid="{00000000-0011-0000-FFFF-FFFF01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1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customschemas.google.com/relationships/workbookmetadata" Target="metadata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bora" refreshedDate="46079.537073032407" createdVersion="8" refreshedVersion="8" minRefreshableVersion="3" recordCount="14" xr:uid="{241293A4-6FF0-41F2-B06A-BFC2975E1A81}">
  <cacheSource type="worksheet">
    <worksheetSource ref="A4:D18" sheet="Assignment13"/>
  </cacheSource>
  <cacheFields count="4">
    <cacheField name="Last Name" numFmtId="0">
      <sharedItems count="5">
        <s v="Smith"/>
        <s v="Johnson"/>
        <s v="Williams"/>
        <s v="Jones"/>
        <s v="Brown"/>
      </sharedItems>
    </cacheField>
    <cacheField name="Sales" numFmtId="173">
      <sharedItems containsSemiMixedTypes="0" containsString="0" containsNumber="1" containsInteger="1" minValue="1390" maxValue="19302"/>
    </cacheField>
    <cacheField name="Country" numFmtId="0">
      <sharedItems count="2">
        <s v="UK"/>
        <s v="USA"/>
      </sharedItems>
    </cacheField>
    <cacheField name="Quarter" numFmtId="0">
      <sharedItems count="4">
        <s v="Qtr 3"/>
        <s v="Qtr 4"/>
        <s v="Qtr 2"/>
        <s v="Qtr 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bora" refreshedDate="46079.550780902777" createdVersion="8" refreshedVersion="8" minRefreshableVersion="3" recordCount="36" xr:uid="{0700F9B0-6C2B-4997-94B7-452F2027E556}">
  <cacheSource type="worksheet">
    <worksheetSource ref="A4:E40" sheet="Assignment14"/>
  </cacheSource>
  <cacheFields count="5">
    <cacheField name="Season" numFmtId="0">
      <sharedItems count="2">
        <s v="Fall"/>
        <s v="Spring"/>
      </sharedItems>
    </cacheField>
    <cacheField name="Year" numFmtId="0">
      <sharedItems containsSemiMixedTypes="0" containsString="0" containsNumber="1" containsInteger="1" minValue="1998" maxValue="1998"/>
    </cacheField>
    <cacheField name="Type" numFmtId="0">
      <sharedItems count="6">
        <s v="Amber Ale"/>
        <s v="Hefeweizen"/>
        <s v="Pale Ale"/>
        <s v="Pilsner"/>
        <s v="Porter"/>
        <s v="Stout"/>
      </sharedItems>
    </cacheField>
    <cacheField name="State" numFmtId="0">
      <sharedItems/>
    </cacheField>
    <cacheField name="Sales $" numFmtId="174">
      <sharedItems containsSemiMixedTypes="0" containsString="0" containsNumber="1" containsInteger="1" minValue="150000" maxValue="6087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hit bora" refreshedDate="46080.500572569443" refreshedVersion="8" recordCount="10" xr:uid="{00000000-000A-0000-FFFF-FFFF00000000}">
  <cacheSource type="worksheet">
    <worksheetSource ref="A4:J14" sheet="Assignment1"/>
  </cacheSource>
  <cacheFields count="10">
    <cacheField name="Roll No" numFmtId="0">
      <sharedItems containsSemiMixedTypes="0" containsString="0" containsNumber="1" containsInteger="1" minValue="1" maxValue="10"/>
    </cacheField>
    <cacheField name="Student Name" numFmtId="0">
      <sharedItems count="10">
        <s v="RAM "/>
        <s v="ASHOK"/>
        <s v="MANOJ"/>
        <s v="RAJESH"/>
        <s v="RANJANA "/>
        <s v="POOJA"/>
        <s v="MAHESH"/>
        <s v="ASHUTOSH"/>
        <s v="ANIL"/>
        <s v="PREM"/>
      </sharedItems>
    </cacheField>
    <cacheField name="Hindi" numFmtId="0">
      <sharedItems containsSemiMixedTypes="0" containsString="0" containsNumber="1" containsInteger="1" minValue="14" maxValue="33"/>
    </cacheField>
    <cacheField name="English" numFmtId="0">
      <sharedItems containsSemiMixedTypes="0" containsString="0" containsNumber="1" containsInteger="1" minValue="8" maxValue="20"/>
    </cacheField>
    <cacheField name="Math" numFmtId="0">
      <sharedItems containsSemiMixedTypes="0" containsString="0" containsNumber="1" containsInteger="1" minValue="3" maxValue="20"/>
    </cacheField>
    <cacheField name="Physics" numFmtId="0">
      <sharedItems containsSemiMixedTypes="0" containsString="0" containsNumber="1" containsInteger="1" minValue="10" maxValue="18"/>
    </cacheField>
    <cacheField name="Chemistry" numFmtId="0">
      <sharedItems containsSemiMixedTypes="0" containsString="0" containsNumber="1" containsInteger="1" minValue="14" maxValue="27"/>
    </cacheField>
    <cacheField name="Total" numFmtId="0">
      <sharedItems containsSemiMixedTypes="0" containsString="0" containsNumber="1" containsInteger="1" minValue="64" maxValue="86"/>
    </cacheField>
    <cacheField name="Average" numFmtId="0">
      <sharedItems containsSemiMixedTypes="0" containsString="0" containsNumber="1" minValue="12.8" maxValue="17.2"/>
    </cacheField>
    <cacheField name="Grade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n v="16753"/>
    <x v="0"/>
    <x v="0"/>
  </r>
  <r>
    <x v="1"/>
    <n v="14808"/>
    <x v="0"/>
    <x v="1"/>
  </r>
  <r>
    <x v="2"/>
    <n v="10644"/>
    <x v="0"/>
    <x v="2"/>
  </r>
  <r>
    <x v="3"/>
    <n v="1390"/>
    <x v="0"/>
    <x v="0"/>
  </r>
  <r>
    <x v="4"/>
    <n v="4865"/>
    <x v="0"/>
    <x v="1"/>
  </r>
  <r>
    <x v="2"/>
    <n v="12438"/>
    <x v="0"/>
    <x v="3"/>
  </r>
  <r>
    <x v="1"/>
    <n v="9339"/>
    <x v="0"/>
    <x v="2"/>
  </r>
  <r>
    <x v="0"/>
    <n v="18919"/>
    <x v="0"/>
    <x v="0"/>
  </r>
  <r>
    <x v="3"/>
    <n v="9213"/>
    <x v="0"/>
    <x v="1"/>
  </r>
  <r>
    <x v="3"/>
    <n v="7433"/>
    <x v="0"/>
    <x v="3"/>
  </r>
  <r>
    <x v="4"/>
    <n v="3255"/>
    <x v="0"/>
    <x v="2"/>
  </r>
  <r>
    <x v="2"/>
    <n v="14867"/>
    <x v="0"/>
    <x v="0"/>
  </r>
  <r>
    <x v="2"/>
    <n v="19302"/>
    <x v="0"/>
    <x v="1"/>
  </r>
  <r>
    <x v="0"/>
    <n v="9698"/>
    <x v="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1998"/>
    <x v="0"/>
    <s v="California"/>
    <n v="554536"/>
  </r>
  <r>
    <x v="0"/>
    <n v="1998"/>
    <x v="1"/>
    <s v="California"/>
    <n v="540643"/>
  </r>
  <r>
    <x v="0"/>
    <n v="1998"/>
    <x v="2"/>
    <s v="California"/>
    <n v="577548"/>
  </r>
  <r>
    <x v="0"/>
    <n v="1998"/>
    <x v="3"/>
    <s v="California"/>
    <n v="455905"/>
  </r>
  <r>
    <x v="0"/>
    <n v="1998"/>
    <x v="4"/>
    <s v="California"/>
    <n v="490871"/>
  </r>
  <r>
    <x v="0"/>
    <n v="1998"/>
    <x v="5"/>
    <s v="California"/>
    <n v="446383"/>
  </r>
  <r>
    <x v="0"/>
    <n v="1998"/>
    <x v="0"/>
    <s v="Oregon"/>
    <n v="457726"/>
  </r>
  <r>
    <x v="0"/>
    <n v="1998"/>
    <x v="1"/>
    <s v="Oregon"/>
    <n v="347696"/>
  </r>
  <r>
    <x v="0"/>
    <n v="1998"/>
    <x v="2"/>
    <s v="Oregon"/>
    <n v="384541"/>
  </r>
  <r>
    <x v="0"/>
    <n v="1998"/>
    <x v="3"/>
    <s v="Oregon"/>
    <n v="386420"/>
  </r>
  <r>
    <x v="0"/>
    <n v="1998"/>
    <x v="4"/>
    <s v="Oregon"/>
    <n v="370970"/>
  </r>
  <r>
    <x v="0"/>
    <n v="1998"/>
    <x v="5"/>
    <s v="Oregon"/>
    <n v="430754"/>
  </r>
  <r>
    <x v="0"/>
    <n v="1998"/>
    <x v="0"/>
    <s v="Washington"/>
    <n v="500847"/>
  </r>
  <r>
    <x v="0"/>
    <n v="1998"/>
    <x v="1"/>
    <s v="Washington"/>
    <n v="507070"/>
  </r>
  <r>
    <x v="0"/>
    <n v="1998"/>
    <x v="2"/>
    <s v="Washington"/>
    <n v="482346"/>
  </r>
  <r>
    <x v="0"/>
    <n v="1998"/>
    <x v="3"/>
    <s v="Washington"/>
    <n v="608713"/>
  </r>
  <r>
    <x v="0"/>
    <n v="1998"/>
    <x v="4"/>
    <s v="Washington"/>
    <n v="150000"/>
  </r>
  <r>
    <x v="0"/>
    <n v="1998"/>
    <x v="5"/>
    <s v="Washington"/>
    <n v="500649"/>
  </r>
  <r>
    <x v="1"/>
    <n v="1998"/>
    <x v="0"/>
    <s v="California"/>
    <n v="545780"/>
  </r>
  <r>
    <x v="1"/>
    <n v="1998"/>
    <x v="1"/>
    <s v="California"/>
    <n v="440644"/>
  </r>
  <r>
    <x v="1"/>
    <n v="1998"/>
    <x v="2"/>
    <s v="California"/>
    <n v="580359"/>
  </r>
  <r>
    <x v="1"/>
    <n v="1998"/>
    <x v="3"/>
    <s v="California"/>
    <n v="536225"/>
  </r>
  <r>
    <x v="1"/>
    <n v="1998"/>
    <x v="4"/>
    <s v="California"/>
    <n v="414908"/>
  </r>
  <r>
    <x v="1"/>
    <n v="1998"/>
    <x v="5"/>
    <s v="California"/>
    <n v="377997"/>
  </r>
  <r>
    <x v="1"/>
    <n v="1998"/>
    <x v="0"/>
    <s v="Oregon"/>
    <n v="331289"/>
  </r>
  <r>
    <x v="1"/>
    <n v="1998"/>
    <x v="1"/>
    <s v="Oregon"/>
    <n v="384572"/>
  </r>
  <r>
    <x v="1"/>
    <n v="1998"/>
    <x v="2"/>
    <s v="Oregon"/>
    <n v="365813"/>
  </r>
  <r>
    <x v="1"/>
    <n v="1998"/>
    <x v="3"/>
    <s v="Oregon"/>
    <n v="396338"/>
  </r>
  <r>
    <x v="1"/>
    <n v="1998"/>
    <x v="4"/>
    <s v="Oregon"/>
    <n v="453761"/>
  </r>
  <r>
    <x v="1"/>
    <n v="1998"/>
    <x v="5"/>
    <s v="Oregon"/>
    <n v="356538"/>
  </r>
  <r>
    <x v="1"/>
    <n v="1998"/>
    <x v="0"/>
    <s v="Washington"/>
    <n v="606332"/>
  </r>
  <r>
    <x v="1"/>
    <n v="1998"/>
    <x v="1"/>
    <s v="Washington"/>
    <n v="535218"/>
  </r>
  <r>
    <x v="1"/>
    <n v="1998"/>
    <x v="2"/>
    <s v="Washington"/>
    <n v="493364"/>
  </r>
  <r>
    <x v="1"/>
    <n v="1998"/>
    <x v="3"/>
    <s v="Washington"/>
    <n v="559100"/>
  </r>
  <r>
    <x v="1"/>
    <n v="1998"/>
    <x v="4"/>
    <s v="Washington"/>
    <n v="220350"/>
  </r>
  <r>
    <x v="1"/>
    <n v="1998"/>
    <x v="5"/>
    <s v="Washington"/>
    <n v="47697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n v="20"/>
    <n v="10"/>
    <n v="14"/>
    <n v="18"/>
    <n v="15"/>
    <n v="77"/>
    <n v="15.4"/>
    <s v="a"/>
  </r>
  <r>
    <n v="2"/>
    <x v="1"/>
    <n v="21"/>
    <n v="12"/>
    <n v="14"/>
    <n v="12"/>
    <n v="18"/>
    <n v="77"/>
    <n v="15.4"/>
    <s v="a"/>
  </r>
  <r>
    <n v="3"/>
    <x v="2"/>
    <n v="33"/>
    <n v="15"/>
    <n v="7"/>
    <n v="14"/>
    <n v="17"/>
    <n v="86"/>
    <n v="17.2"/>
    <s v="a"/>
  </r>
  <r>
    <n v="4"/>
    <x v="3"/>
    <n v="15"/>
    <n v="14"/>
    <n v="8"/>
    <n v="16"/>
    <n v="20"/>
    <n v="73"/>
    <n v="14.6"/>
    <s v="b"/>
  </r>
  <r>
    <n v="5"/>
    <x v="4"/>
    <n v="14"/>
    <n v="17"/>
    <n v="10"/>
    <n v="13"/>
    <n v="18"/>
    <n v="72"/>
    <n v="14.4"/>
    <s v="b"/>
  </r>
  <r>
    <n v="6"/>
    <x v="5"/>
    <n v="16"/>
    <n v="8"/>
    <n v="20"/>
    <n v="17"/>
    <n v="15"/>
    <n v="76"/>
    <n v="15.2"/>
    <s v="a"/>
  </r>
  <r>
    <n v="7"/>
    <x v="6"/>
    <n v="18"/>
    <n v="19"/>
    <n v="3"/>
    <n v="10"/>
    <n v="14"/>
    <n v="64"/>
    <n v="12.8"/>
    <s v="b"/>
  </r>
  <r>
    <n v="8"/>
    <x v="7"/>
    <n v="19"/>
    <n v="20"/>
    <n v="7"/>
    <n v="14"/>
    <n v="18"/>
    <n v="78"/>
    <n v="15.6"/>
    <s v="a"/>
  </r>
  <r>
    <n v="9"/>
    <x v="8"/>
    <n v="22"/>
    <n v="13"/>
    <n v="8"/>
    <n v="12"/>
    <n v="19"/>
    <n v="74"/>
    <n v="14.8"/>
    <s v="b"/>
  </r>
  <r>
    <n v="10"/>
    <x v="9"/>
    <n v="26"/>
    <n v="12"/>
    <n v="10"/>
    <n v="11"/>
    <n v="27"/>
    <n v="86"/>
    <n v="17.2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Assignment1" cacheId="6" applyNumberFormats="0" applyBorderFormats="0" applyFontFormats="0" applyPatternFormats="0" applyAlignmentFormats="0" applyWidthHeightFormats="0" dataCaption="" updatedVersion="8" compact="0" compactData="0">
  <location ref="X6:AA18" firstHeaderRow="1" firstDataRow="2" firstDataCol="1"/>
  <pivotFields count="10">
    <pivotField name="Roll No" compact="0" outline="0" multipleItemSelectionAllowed="1" showAll="0"/>
    <pivotField name="Student Name" axis="axisRow" compact="0" outline="0" multipleItemSelectionAllowed="1" showAll="0" sortType="ascending">
      <items count="11">
        <item x="8"/>
        <item x="1"/>
        <item x="7"/>
        <item x="6"/>
        <item x="2"/>
        <item x="5"/>
        <item x="9"/>
        <item x="3"/>
        <item x="0"/>
        <item x="4"/>
        <item t="default"/>
      </items>
    </pivotField>
    <pivotField name="Hindi" compact="0" outline="0" multipleItemSelectionAllowed="1" showAll="0"/>
    <pivotField name="English" compact="0" outline="0" multipleItemSelectionAllowed="1" showAll="0"/>
    <pivotField name="Math" compact="0" outline="0" multipleItemSelectionAllowed="1" showAll="0"/>
    <pivotField name="Physics" compact="0" outline="0" multipleItemSelectionAllowed="1" showAll="0"/>
    <pivotField name="Chemistry" compact="0" outline="0" multipleItemSelectionAllowed="1" showAll="0"/>
    <pivotField name="Total" dataField="1" compact="0" outline="0" multipleItemSelectionAllowed="1" showAll="0"/>
    <pivotField name="Average" dataField="1" compact="0" outline="0" multipleItemSelectionAllowed="1" showAll="0"/>
    <pivotField name="Grade " dataField="1" compact="0" outline="0" multipleItemSelectionAllowe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7" baseField="0"/>
    <dataField name="SUM of Average" fld="8" baseField="0"/>
    <dataField name="COUNTA of Grade " fld="9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32C7A-F29F-46FA-A687-32047C6312C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3:D28" firstHeaderRow="1" firstDataRow="1" firstDataCol="1"/>
  <pivotFields count="4">
    <pivotField showAll="0">
      <items count="6">
        <item x="4"/>
        <item x="1"/>
        <item x="3"/>
        <item x="0"/>
        <item x="2"/>
        <item t="default"/>
      </items>
    </pivotField>
    <pivotField dataField="1" numFmtId="173" showAll="0"/>
    <pivotField showAll="0"/>
    <pivotField axis="axisRow" showAll="0">
      <items count="5">
        <item x="3"/>
        <item x="2"/>
        <item x="0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 numFmtId="173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396AC-C817-4C4E-BD5E-D945B6CE080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4:D17" firstHeaderRow="1" firstDataRow="1" firstDataCol="1"/>
  <pivotFields count="4">
    <pivotField showAll="0">
      <items count="6">
        <item x="4"/>
        <item x="1"/>
        <item x="3"/>
        <item x="0"/>
        <item x="2"/>
        <item t="default"/>
      </items>
    </pivotField>
    <pivotField dataField="1" numFmtId="173" showAll="0"/>
    <pivotField axis="axisRow" showAll="0">
      <items count="3">
        <item x="0"/>
        <item x="1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ales" fld="1" baseField="0" baseItem="0" numFmtId="173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6F0EA-A06D-441D-8222-96F38F841EF0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C3:D8" firstHeaderRow="1" firstDataRow="1" firstDataCol="1"/>
  <pivotFields count="4">
    <pivotField axis="axisRow" showAll="0">
      <items count="6">
        <item x="4"/>
        <item x="1"/>
        <item x="3"/>
        <item x="0"/>
        <item x="2"/>
        <item t="default"/>
      </items>
    </pivotField>
    <pivotField dataField="1" numFmtId="173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ales" fld="1" baseField="0" baseItem="0" numFmtId="173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980CD-62A3-46E0-94F0-A259803F840E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5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numFmtId="174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 $" fld="4" baseField="0" baseItem="0" numFmtId="174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DC524-5BE5-4176-81BD-39AB230B362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9" firstHeaderRow="1" firstDataRow="1" firstDataCol="1"/>
  <pivotFields count="5">
    <pivotField showAll="0">
      <items count="3">
        <item x="0"/>
        <item x="1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numFmtId="17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$" fld="4" baseField="0" baseItem="0" numFmtId="174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4:F20">
  <tableColumns count="6">
    <tableColumn id="1" xr3:uid="{00000000-0010-0000-0000-000001000000}" name="SRNO"/>
    <tableColumn id="2" xr3:uid="{00000000-0010-0000-0000-000002000000}" name="ITEMS"/>
    <tableColumn id="3" xr3:uid="{00000000-0010-0000-0000-000003000000}" name="QTY"/>
    <tableColumn id="4" xr3:uid="{00000000-0010-0000-0000-000004000000}" name="RATE"/>
    <tableColumn id="5" xr3:uid="{00000000-0010-0000-0000-000005000000}" name="AMOUNT"/>
    <tableColumn id="6" xr3:uid="{00000000-0010-0000-0000-000006000000}" name="GRADE"/>
  </tableColumns>
  <tableStyleInfo name="Assignment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4:F34">
  <tableColumns count="6">
    <tableColumn id="1" xr3:uid="{00000000-0010-0000-0100-000001000000}" name="Order ID"/>
    <tableColumn id="2" xr3:uid="{00000000-0010-0000-0100-000002000000}" name="Product"/>
    <tableColumn id="3" xr3:uid="{00000000-0010-0000-0100-000003000000}" name="Category"/>
    <tableColumn id="4" xr3:uid="{00000000-0010-0000-0100-000004000000}" name="Amount"/>
    <tableColumn id="5" xr3:uid="{00000000-0010-0000-0100-000005000000}" name="Date"/>
    <tableColumn id="6" xr3:uid="{00000000-0010-0000-0100-000006000000}" name="Country"/>
  </tableColumns>
  <tableStyleInfo name="Assignment15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B9B376-BDF5-4F82-A291-5CEF2F573681}" name="Table3" displayName="Table3" ref="J4:L9" totalsRowShown="0" headerRowDxfId="4" headerRowBorderDxfId="3">
  <autoFilter ref="J4:L9" xr:uid="{DEB9B376-BDF5-4F82-A291-5CEF2F573681}"/>
  <tableColumns count="3">
    <tableColumn id="1" xr3:uid="{1C76E281-A2FE-411A-AF64-BF019E4A918A}" name="ID" dataDxfId="2"/>
    <tableColumn id="2" xr3:uid="{94B298E4-3816-40CD-B6C5-CCD60AE74860}" name="Brand" dataDxfId="1"/>
    <tableColumn id="3" xr3:uid="{E85E3044-E6C6-49A3-AC1F-0B511B67E8E4}" name="Produc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AA11009"/>
  <sheetViews>
    <sheetView topLeftCell="A18" workbookViewId="0">
      <selection activeCell="K34" sqref="K34"/>
    </sheetView>
  </sheetViews>
  <sheetFormatPr defaultColWidth="14.44140625" defaultRowHeight="15" customHeight="1"/>
  <cols>
    <col min="1" max="1" width="9.5546875" customWidth="1"/>
    <col min="2" max="2" width="15.88671875" customWidth="1"/>
    <col min="3" max="3" width="8" customWidth="1"/>
    <col min="4" max="4" width="9.44140625" customWidth="1"/>
    <col min="5" max="5" width="8" customWidth="1"/>
    <col min="6" max="6" width="9.5546875" customWidth="1"/>
    <col min="7" max="7" width="12.109375" customWidth="1"/>
    <col min="8" max="8" width="8" customWidth="1"/>
    <col min="9" max="9" width="13.33203125" customWidth="1"/>
    <col min="10" max="18" width="14.109375" customWidth="1"/>
    <col min="19" max="20" width="8" customWidth="1"/>
    <col min="21" max="21" width="9.109375" customWidth="1"/>
    <col min="22" max="22" width="4.5546875" customWidth="1"/>
    <col min="23" max="23" width="8.44140625" customWidth="1"/>
    <col min="24" max="24" width="14.6640625" customWidth="1"/>
    <col min="25" max="25" width="18.44140625" customWidth="1"/>
    <col min="26" max="26" width="14.33203125" customWidth="1"/>
    <col min="27" max="45" width="8" customWidth="1"/>
  </cols>
  <sheetData>
    <row r="1" spans="1:27" ht="18.75" customHeight="1">
      <c r="A1" s="300"/>
      <c r="B1" s="301"/>
      <c r="C1" s="301"/>
      <c r="D1" s="301"/>
      <c r="E1" s="301"/>
      <c r="F1" s="301"/>
      <c r="G1" s="301"/>
      <c r="H1" s="301"/>
      <c r="I1" s="301"/>
      <c r="J1" s="301"/>
      <c r="K1" s="1"/>
      <c r="L1" s="1"/>
      <c r="M1" s="1"/>
      <c r="N1" s="1"/>
      <c r="O1" s="1"/>
      <c r="P1" s="1"/>
      <c r="Q1" s="1"/>
      <c r="R1" s="1"/>
    </row>
    <row r="3" spans="1:27" ht="15.75" customHeight="1">
      <c r="A3" s="302" t="s">
        <v>0</v>
      </c>
      <c r="B3" s="301"/>
      <c r="C3" s="301"/>
      <c r="D3" s="301"/>
      <c r="E3" s="301"/>
      <c r="F3" s="301"/>
      <c r="G3" s="301"/>
      <c r="H3" s="301"/>
      <c r="I3" s="301"/>
      <c r="J3" s="301"/>
      <c r="K3" s="2"/>
      <c r="L3" s="2"/>
      <c r="M3" s="2"/>
      <c r="N3" s="2"/>
      <c r="O3" s="2"/>
      <c r="P3" s="2"/>
      <c r="Q3" s="2"/>
      <c r="R3" s="2"/>
    </row>
    <row r="4" spans="1:27" ht="14.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4"/>
      <c r="L4" s="4"/>
      <c r="M4" s="4"/>
      <c r="N4" s="4"/>
      <c r="O4" s="4"/>
      <c r="P4" s="4"/>
      <c r="Q4" s="4"/>
      <c r="R4" s="4"/>
      <c r="Y4" s="5" t="s">
        <v>11</v>
      </c>
    </row>
    <row r="5" spans="1:27" ht="14.4">
      <c r="A5" s="6">
        <v>1</v>
      </c>
      <c r="B5" s="6" t="s">
        <v>12</v>
      </c>
      <c r="C5" s="6">
        <v>20</v>
      </c>
      <c r="D5" s="6">
        <v>10</v>
      </c>
      <c r="E5" s="6">
        <v>14</v>
      </c>
      <c r="F5" s="6">
        <v>18</v>
      </c>
      <c r="G5" s="6">
        <v>15</v>
      </c>
      <c r="H5" s="6">
        <f t="shared" ref="H5:H14" si="0">SUM(C5:G5)</f>
        <v>77</v>
      </c>
      <c r="I5" s="6">
        <f t="shared" ref="I5:I14" si="1">AVERAGE(C5:G5)</f>
        <v>15.4</v>
      </c>
      <c r="J5" s="6" t="str">
        <f t="shared" ref="J5:J14" si="2">IF(I5&gt;15,"a","b")</f>
        <v>a</v>
      </c>
      <c r="K5" s="7"/>
      <c r="L5" s="282" t="s">
        <v>80</v>
      </c>
      <c r="M5" s="282" t="s">
        <v>1219</v>
      </c>
      <c r="N5" s="282" t="s">
        <v>51</v>
      </c>
      <c r="O5" s="7"/>
      <c r="P5" s="7"/>
      <c r="Q5" s="7"/>
      <c r="R5" s="7"/>
      <c r="S5" s="5" t="str">
        <f t="shared" ref="S5:S14" si="3">IF(I5&gt;15,"A","B")</f>
        <v>A</v>
      </c>
      <c r="T5" s="8"/>
      <c r="U5" s="5" t="str">
        <f t="shared" ref="U5:U14" si="4">PROPER(B5)</f>
        <v xml:space="preserve">Ram </v>
      </c>
    </row>
    <row r="6" spans="1:27" ht="14.4">
      <c r="A6" s="6">
        <v>2</v>
      </c>
      <c r="B6" s="6" t="s">
        <v>13</v>
      </c>
      <c r="C6" s="6">
        <v>21</v>
      </c>
      <c r="D6" s="6">
        <v>12</v>
      </c>
      <c r="E6" s="6">
        <v>14</v>
      </c>
      <c r="F6" s="6">
        <v>12</v>
      </c>
      <c r="G6" s="6">
        <v>18</v>
      </c>
      <c r="H6" s="6">
        <f t="shared" si="0"/>
        <v>77</v>
      </c>
      <c r="I6" s="6">
        <f t="shared" si="1"/>
        <v>15.4</v>
      </c>
      <c r="J6" s="6" t="str">
        <f t="shared" si="2"/>
        <v>a</v>
      </c>
      <c r="K6" s="7"/>
      <c r="L6" s="7">
        <f t="shared" ref="L6:L15" si="5">SUM(C5:G5)</f>
        <v>77</v>
      </c>
      <c r="M6" s="7">
        <f>AVERAGE(C5:G5)</f>
        <v>15.4</v>
      </c>
      <c r="N6" s="7" t="str">
        <f>IF(I5&gt;15,"a","B")</f>
        <v>a</v>
      </c>
      <c r="O6" s="7"/>
      <c r="P6" s="7"/>
      <c r="Q6" s="7"/>
      <c r="R6" s="7"/>
      <c r="S6" s="5" t="str">
        <f t="shared" si="3"/>
        <v>A</v>
      </c>
      <c r="T6" s="8"/>
      <c r="U6" s="5" t="str">
        <f t="shared" si="4"/>
        <v>Ashok</v>
      </c>
      <c r="X6" s="274"/>
      <c r="Y6" s="275" t="s">
        <v>1218</v>
      </c>
      <c r="Z6" s="276"/>
      <c r="AA6" s="277"/>
    </row>
    <row r="7" spans="1:27" ht="14.4">
      <c r="A7" s="6">
        <v>3</v>
      </c>
      <c r="B7" s="6" t="s">
        <v>17</v>
      </c>
      <c r="C7" s="6">
        <v>33</v>
      </c>
      <c r="D7" s="6">
        <v>15</v>
      </c>
      <c r="E7" s="6">
        <v>7</v>
      </c>
      <c r="F7" s="6">
        <v>14</v>
      </c>
      <c r="G7" s="6">
        <v>17</v>
      </c>
      <c r="H7" s="6">
        <f t="shared" si="0"/>
        <v>86</v>
      </c>
      <c r="I7" s="6">
        <f t="shared" si="1"/>
        <v>17.2</v>
      </c>
      <c r="J7" s="6" t="str">
        <f t="shared" si="2"/>
        <v>a</v>
      </c>
      <c r="K7" s="7"/>
      <c r="L7" s="7">
        <f t="shared" si="5"/>
        <v>77</v>
      </c>
      <c r="M7" s="7">
        <f t="shared" ref="M7:M13" si="6">AVERAGE(C6:G6)</f>
        <v>15.4</v>
      </c>
      <c r="N7" s="7" t="str">
        <f t="shared" ref="N7:N15" si="7">IF(I6&gt;15,"a","B")</f>
        <v>a</v>
      </c>
      <c r="O7" s="7"/>
      <c r="P7" s="7"/>
      <c r="Q7" s="7"/>
      <c r="R7" s="7"/>
      <c r="S7" s="5" t="str">
        <f t="shared" si="3"/>
        <v>A</v>
      </c>
      <c r="T7" s="8"/>
      <c r="U7" s="5" t="str">
        <f t="shared" si="4"/>
        <v>Manoj</v>
      </c>
      <c r="X7" s="275" t="s">
        <v>2</v>
      </c>
      <c r="Y7" s="274" t="s">
        <v>14</v>
      </c>
      <c r="Z7" s="278" t="s">
        <v>15</v>
      </c>
      <c r="AA7" s="279" t="s">
        <v>16</v>
      </c>
    </row>
    <row r="8" spans="1:27" ht="14.4">
      <c r="A8" s="6">
        <v>4</v>
      </c>
      <c r="B8" s="6" t="s">
        <v>19</v>
      </c>
      <c r="C8" s="6">
        <v>15</v>
      </c>
      <c r="D8" s="6">
        <v>14</v>
      </c>
      <c r="E8" s="6">
        <v>8</v>
      </c>
      <c r="F8" s="6">
        <v>16</v>
      </c>
      <c r="G8" s="6">
        <v>20</v>
      </c>
      <c r="H8" s="6">
        <f t="shared" si="0"/>
        <v>73</v>
      </c>
      <c r="I8" s="6">
        <f t="shared" si="1"/>
        <v>14.6</v>
      </c>
      <c r="J8" s="6" t="str">
        <f t="shared" si="2"/>
        <v>b</v>
      </c>
      <c r="K8" s="7"/>
      <c r="L8" s="7">
        <f t="shared" si="5"/>
        <v>86</v>
      </c>
      <c r="M8" s="7">
        <f t="shared" si="6"/>
        <v>17.2</v>
      </c>
      <c r="N8" s="7" t="str">
        <f t="shared" si="7"/>
        <v>a</v>
      </c>
      <c r="O8" s="7"/>
      <c r="P8" s="7"/>
      <c r="Q8" s="7"/>
      <c r="R8" s="7"/>
      <c r="S8" s="5" t="str">
        <f t="shared" si="3"/>
        <v>B</v>
      </c>
      <c r="T8" s="8"/>
      <c r="U8" s="5" t="str">
        <f t="shared" si="4"/>
        <v>Rajesh</v>
      </c>
      <c r="X8" s="274" t="s">
        <v>18</v>
      </c>
      <c r="Y8" s="339">
        <v>74</v>
      </c>
      <c r="Z8" s="340">
        <v>14.8</v>
      </c>
      <c r="AA8" s="341">
        <v>1</v>
      </c>
    </row>
    <row r="9" spans="1:27" ht="14.4">
      <c r="A9" s="6">
        <v>5</v>
      </c>
      <c r="B9" s="6" t="s">
        <v>20</v>
      </c>
      <c r="C9" s="6">
        <v>14</v>
      </c>
      <c r="D9" s="6">
        <v>17</v>
      </c>
      <c r="E9" s="6">
        <v>10</v>
      </c>
      <c r="F9" s="6">
        <v>13</v>
      </c>
      <c r="G9" s="6">
        <v>18</v>
      </c>
      <c r="H9" s="6">
        <f t="shared" si="0"/>
        <v>72</v>
      </c>
      <c r="I9" s="6">
        <f t="shared" si="1"/>
        <v>14.4</v>
      </c>
      <c r="J9" s="6" t="str">
        <f t="shared" si="2"/>
        <v>b</v>
      </c>
      <c r="K9" s="7"/>
      <c r="L9" s="7">
        <f t="shared" si="5"/>
        <v>73</v>
      </c>
      <c r="M9" s="7">
        <f t="shared" si="6"/>
        <v>14.6</v>
      </c>
      <c r="N9" s="7" t="str">
        <f t="shared" si="7"/>
        <v>B</v>
      </c>
      <c r="O9" s="7"/>
      <c r="P9" s="7"/>
      <c r="Q9" s="7"/>
      <c r="R9" s="7"/>
      <c r="S9" s="5" t="str">
        <f t="shared" si="3"/>
        <v>B</v>
      </c>
      <c r="T9" s="8"/>
      <c r="U9" s="5" t="str">
        <f t="shared" si="4"/>
        <v xml:space="preserve">Ranjana </v>
      </c>
      <c r="X9" s="280" t="s">
        <v>13</v>
      </c>
      <c r="Y9" s="342">
        <v>77</v>
      </c>
      <c r="Z9" s="343">
        <v>15.4</v>
      </c>
      <c r="AA9" s="344">
        <v>1</v>
      </c>
    </row>
    <row r="10" spans="1:27" ht="14.4">
      <c r="A10" s="6">
        <v>6</v>
      </c>
      <c r="B10" s="6" t="s">
        <v>22</v>
      </c>
      <c r="C10" s="6">
        <v>16</v>
      </c>
      <c r="D10" s="6">
        <v>8</v>
      </c>
      <c r="E10" s="6">
        <v>20</v>
      </c>
      <c r="F10" s="6">
        <v>17</v>
      </c>
      <c r="G10" s="6">
        <v>15</v>
      </c>
      <c r="H10" s="6">
        <f t="shared" si="0"/>
        <v>76</v>
      </c>
      <c r="I10" s="6">
        <f t="shared" si="1"/>
        <v>15.2</v>
      </c>
      <c r="J10" s="6" t="str">
        <f t="shared" si="2"/>
        <v>a</v>
      </c>
      <c r="K10" s="9"/>
      <c r="L10" s="9">
        <f t="shared" si="5"/>
        <v>72</v>
      </c>
      <c r="M10" s="7">
        <f t="shared" si="6"/>
        <v>14.4</v>
      </c>
      <c r="N10" s="7" t="str">
        <f t="shared" si="7"/>
        <v>B</v>
      </c>
      <c r="O10" s="9"/>
      <c r="P10" s="9"/>
      <c r="Q10" s="9"/>
      <c r="R10" s="9"/>
      <c r="S10" s="5" t="str">
        <f t="shared" si="3"/>
        <v>A</v>
      </c>
      <c r="T10" s="8"/>
      <c r="U10" s="5" t="str">
        <f t="shared" si="4"/>
        <v>Pooja</v>
      </c>
      <c r="X10" s="280" t="s">
        <v>21</v>
      </c>
      <c r="Y10" s="342">
        <v>78</v>
      </c>
      <c r="Z10" s="343">
        <v>15.6</v>
      </c>
      <c r="AA10" s="344">
        <v>1</v>
      </c>
    </row>
    <row r="11" spans="1:27" ht="14.4">
      <c r="A11" s="6">
        <v>7</v>
      </c>
      <c r="B11" s="6" t="s">
        <v>23</v>
      </c>
      <c r="C11" s="6">
        <v>18</v>
      </c>
      <c r="D11" s="6">
        <v>19</v>
      </c>
      <c r="E11" s="6">
        <v>3</v>
      </c>
      <c r="F11" s="6">
        <v>10</v>
      </c>
      <c r="G11" s="6">
        <v>14</v>
      </c>
      <c r="H11" s="6">
        <f t="shared" si="0"/>
        <v>64</v>
      </c>
      <c r="I11" s="6">
        <f t="shared" si="1"/>
        <v>12.8</v>
      </c>
      <c r="J11" s="6" t="str">
        <f t="shared" si="2"/>
        <v>b</v>
      </c>
      <c r="K11" s="7"/>
      <c r="L11" s="7">
        <f t="shared" si="5"/>
        <v>76</v>
      </c>
      <c r="M11" s="7">
        <f t="shared" si="6"/>
        <v>15.2</v>
      </c>
      <c r="N11" s="7" t="str">
        <f t="shared" si="7"/>
        <v>a</v>
      </c>
      <c r="O11" s="7"/>
      <c r="P11" s="7"/>
      <c r="Q11" s="7"/>
      <c r="R11" s="7"/>
      <c r="S11" s="5" t="str">
        <f t="shared" si="3"/>
        <v>B</v>
      </c>
      <c r="T11" s="8"/>
      <c r="U11" s="5" t="str">
        <f t="shared" si="4"/>
        <v>Mahesh</v>
      </c>
      <c r="X11" s="280" t="s">
        <v>23</v>
      </c>
      <c r="Y11" s="342">
        <v>64</v>
      </c>
      <c r="Z11" s="343">
        <v>12.8</v>
      </c>
      <c r="AA11" s="344">
        <v>1</v>
      </c>
    </row>
    <row r="12" spans="1:27" ht="14.4">
      <c r="A12" s="6">
        <v>8</v>
      </c>
      <c r="B12" s="6" t="s">
        <v>21</v>
      </c>
      <c r="C12" s="10">
        <v>19</v>
      </c>
      <c r="D12" s="6">
        <v>20</v>
      </c>
      <c r="E12" s="6">
        <v>7</v>
      </c>
      <c r="F12" s="6">
        <v>14</v>
      </c>
      <c r="G12" s="6">
        <v>18</v>
      </c>
      <c r="H12" s="6">
        <f t="shared" si="0"/>
        <v>78</v>
      </c>
      <c r="I12" s="6">
        <f t="shared" si="1"/>
        <v>15.6</v>
      </c>
      <c r="J12" s="6" t="str">
        <f t="shared" si="2"/>
        <v>a</v>
      </c>
      <c r="K12" s="7"/>
      <c r="L12" s="7">
        <f t="shared" si="5"/>
        <v>64</v>
      </c>
      <c r="M12" s="7">
        <f t="shared" si="6"/>
        <v>12.8</v>
      </c>
      <c r="N12" s="7" t="str">
        <f t="shared" si="7"/>
        <v>B</v>
      </c>
      <c r="O12" s="7"/>
      <c r="P12" s="7"/>
      <c r="Q12" s="7"/>
      <c r="R12" s="7"/>
      <c r="S12" s="5" t="str">
        <f t="shared" si="3"/>
        <v>A</v>
      </c>
      <c r="T12" s="8"/>
      <c r="U12" s="5" t="str">
        <f t="shared" si="4"/>
        <v>Ashutosh</v>
      </c>
      <c r="X12" s="280" t="s">
        <v>17</v>
      </c>
      <c r="Y12" s="342">
        <v>86</v>
      </c>
      <c r="Z12" s="343">
        <v>17.2</v>
      </c>
      <c r="AA12" s="344">
        <v>1</v>
      </c>
    </row>
    <row r="13" spans="1:27" ht="14.4">
      <c r="A13" s="6">
        <v>9</v>
      </c>
      <c r="B13" s="6" t="s">
        <v>18</v>
      </c>
      <c r="C13" s="6">
        <v>22</v>
      </c>
      <c r="D13" s="6">
        <v>13</v>
      </c>
      <c r="E13" s="6">
        <v>8</v>
      </c>
      <c r="F13" s="6">
        <v>12</v>
      </c>
      <c r="G13" s="6">
        <v>19</v>
      </c>
      <c r="H13" s="6">
        <f t="shared" si="0"/>
        <v>74</v>
      </c>
      <c r="I13" s="6">
        <f t="shared" si="1"/>
        <v>14.8</v>
      </c>
      <c r="J13" s="6" t="str">
        <f t="shared" si="2"/>
        <v>b</v>
      </c>
      <c r="K13" s="7"/>
      <c r="L13" s="7">
        <f t="shared" si="5"/>
        <v>78</v>
      </c>
      <c r="M13" s="7">
        <f t="shared" si="6"/>
        <v>15.6</v>
      </c>
      <c r="N13" s="7" t="str">
        <f t="shared" si="7"/>
        <v>a</v>
      </c>
      <c r="O13" s="7"/>
      <c r="P13" s="7"/>
      <c r="Q13" s="7"/>
      <c r="R13" s="7"/>
      <c r="S13" s="5" t="str">
        <f t="shared" si="3"/>
        <v>B</v>
      </c>
      <c r="T13" s="8"/>
      <c r="U13" s="5" t="str">
        <f t="shared" si="4"/>
        <v>Anil</v>
      </c>
      <c r="X13" s="280" t="s">
        <v>22</v>
      </c>
      <c r="Y13" s="342">
        <v>76</v>
      </c>
      <c r="Z13" s="343">
        <v>15.2</v>
      </c>
      <c r="AA13" s="344">
        <v>1</v>
      </c>
    </row>
    <row r="14" spans="1:27" ht="14.4">
      <c r="A14" s="6">
        <v>10</v>
      </c>
      <c r="B14" s="6" t="s">
        <v>24</v>
      </c>
      <c r="C14" s="6">
        <v>26</v>
      </c>
      <c r="D14" s="6">
        <v>12</v>
      </c>
      <c r="E14" s="6">
        <v>10</v>
      </c>
      <c r="F14" s="6">
        <v>11</v>
      </c>
      <c r="G14" s="6">
        <v>27</v>
      </c>
      <c r="H14" s="6">
        <f t="shared" si="0"/>
        <v>86</v>
      </c>
      <c r="I14" s="6">
        <f t="shared" si="1"/>
        <v>17.2</v>
      </c>
      <c r="J14" s="6" t="str">
        <f t="shared" si="2"/>
        <v>a</v>
      </c>
      <c r="K14" s="7"/>
      <c r="L14" s="7">
        <f t="shared" si="5"/>
        <v>74</v>
      </c>
      <c r="M14" s="7">
        <f>AVERAGE(C13:G13)</f>
        <v>14.8</v>
      </c>
      <c r="N14" s="7" t="str">
        <f t="shared" si="7"/>
        <v>B</v>
      </c>
      <c r="O14" s="7"/>
      <c r="P14" s="7"/>
      <c r="Q14" s="7"/>
      <c r="R14" s="7"/>
      <c r="S14" s="5" t="str">
        <f t="shared" si="3"/>
        <v>A</v>
      </c>
      <c r="T14" s="8"/>
      <c r="U14" s="5" t="str">
        <f t="shared" si="4"/>
        <v>Prem</v>
      </c>
      <c r="X14" s="280" t="s">
        <v>24</v>
      </c>
      <c r="Y14" s="342">
        <v>86</v>
      </c>
      <c r="Z14" s="343">
        <v>17.2</v>
      </c>
      <c r="AA14" s="344">
        <v>1</v>
      </c>
    </row>
    <row r="15" spans="1:27" ht="14.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7">
        <f t="shared" si="5"/>
        <v>86</v>
      </c>
      <c r="M15" s="7">
        <f>AVERAGE(C14:G14)</f>
        <v>17.2</v>
      </c>
      <c r="N15" s="7" t="str">
        <f t="shared" si="7"/>
        <v>a</v>
      </c>
      <c r="O15" s="9"/>
      <c r="P15" s="9"/>
      <c r="Q15" s="9"/>
      <c r="R15" s="9"/>
      <c r="X15" s="280" t="s">
        <v>19</v>
      </c>
      <c r="Y15" s="342">
        <v>73</v>
      </c>
      <c r="Z15" s="343">
        <v>14.6</v>
      </c>
      <c r="AA15" s="344">
        <v>1</v>
      </c>
    </row>
    <row r="16" spans="1:27" ht="19.5" customHeight="1">
      <c r="A16" s="11" t="s">
        <v>25</v>
      </c>
      <c r="B16" s="11"/>
      <c r="C16" s="11"/>
      <c r="D16" s="11" t="s">
        <v>26</v>
      </c>
      <c r="X16" s="280" t="s">
        <v>12</v>
      </c>
      <c r="Y16" s="342">
        <v>77</v>
      </c>
      <c r="Z16" s="343">
        <v>15.4</v>
      </c>
      <c r="AA16" s="344">
        <v>1</v>
      </c>
    </row>
    <row r="17" spans="1:27" ht="19.5" customHeight="1">
      <c r="A17" s="11" t="s">
        <v>27</v>
      </c>
      <c r="B17" s="11"/>
      <c r="C17" s="11"/>
      <c r="D17" s="11"/>
      <c r="X17" s="280" t="s">
        <v>20</v>
      </c>
      <c r="Y17" s="342">
        <v>72</v>
      </c>
      <c r="Z17" s="343">
        <v>14.4</v>
      </c>
      <c r="AA17" s="344">
        <v>1</v>
      </c>
    </row>
    <row r="18" spans="1:27" ht="19.5" customHeight="1">
      <c r="A18" s="11" t="s">
        <v>29</v>
      </c>
      <c r="B18" s="11"/>
      <c r="C18" s="11"/>
      <c r="D18" s="11"/>
      <c r="I18" s="5" t="s">
        <v>30</v>
      </c>
      <c r="X18" s="281" t="s">
        <v>28</v>
      </c>
      <c r="Y18" s="345">
        <v>763</v>
      </c>
      <c r="Z18" s="346">
        <v>152.60000000000002</v>
      </c>
      <c r="AA18" s="347">
        <v>10</v>
      </c>
    </row>
    <row r="19" spans="1:27" ht="19.5" customHeight="1">
      <c r="A19" s="11"/>
      <c r="B19" s="11"/>
      <c r="C19" s="11"/>
      <c r="D19" s="11"/>
      <c r="K19">
        <f>COUNTIF(J5:J14,"A")</f>
        <v>6</v>
      </c>
    </row>
    <row r="20" spans="1:27" ht="19.5" customHeight="1">
      <c r="A20" s="11" t="s">
        <v>31</v>
      </c>
      <c r="B20" s="11">
        <f>COUNTIF(J5:J14,A20)</f>
        <v>6</v>
      </c>
      <c r="C20" s="11"/>
      <c r="D20" s="11"/>
      <c r="K20">
        <f>COUNTIF(J5:J14,"B")</f>
        <v>4</v>
      </c>
    </row>
    <row r="21" spans="1:27" ht="19.5" customHeight="1">
      <c r="A21" s="11" t="s">
        <v>32</v>
      </c>
      <c r="B21" s="11">
        <f>COUNTIF(J5:J14,"b")</f>
        <v>4</v>
      </c>
      <c r="C21" s="11"/>
      <c r="D21" s="11"/>
    </row>
    <row r="22" spans="1:27" ht="19.5" customHeight="1">
      <c r="A22" s="11" t="s">
        <v>33</v>
      </c>
      <c r="B22" s="11"/>
      <c r="C22" s="11"/>
      <c r="D22" s="11"/>
      <c r="I22" s="5" t="s">
        <v>34</v>
      </c>
      <c r="K22" s="283" t="s">
        <v>1220</v>
      </c>
      <c r="L22" s="283" t="s">
        <v>1219</v>
      </c>
    </row>
    <row r="23" spans="1:27" ht="19.5" customHeight="1">
      <c r="A23" s="11"/>
      <c r="B23" s="11" t="s">
        <v>35</v>
      </c>
      <c r="C23" s="11" t="s">
        <v>9</v>
      </c>
      <c r="D23" s="11"/>
      <c r="J23" s="284" t="s">
        <v>17</v>
      </c>
      <c r="K23">
        <f>SUMIF(B5:B14,"manoj",H5:H14)</f>
        <v>86</v>
      </c>
      <c r="L23">
        <f>AVERAGEIF(B5:B14,"manoj",I5:I14)</f>
        <v>17.2</v>
      </c>
    </row>
    <row r="24" spans="1:27" ht="19.5" customHeight="1">
      <c r="A24" s="11" t="s">
        <v>36</v>
      </c>
      <c r="B24" s="11">
        <f>SUMIF(B5:B14,"Ashok",H5:H14)</f>
        <v>77</v>
      </c>
      <c r="C24" s="11">
        <f t="shared" ref="C24:C25" si="8">SUMIF(B5:B14,A24,I5:I14)</f>
        <v>15.4</v>
      </c>
      <c r="D24" s="11"/>
      <c r="J24" s="284" t="s">
        <v>13</v>
      </c>
      <c r="K24">
        <f>SUMIF(B5:B14,"ashok",H5:H14)</f>
        <v>77</v>
      </c>
      <c r="L24">
        <f>AVERAGEIF(B5:B14,"ashok",I5:I14)</f>
        <v>15.4</v>
      </c>
    </row>
    <row r="25" spans="1:27" ht="19.5" customHeight="1">
      <c r="A25" s="11" t="s">
        <v>37</v>
      </c>
      <c r="B25" s="11">
        <f>SUMIF(B5:B14,"manoj",H5:H14)</f>
        <v>86</v>
      </c>
      <c r="C25" s="11">
        <f t="shared" si="8"/>
        <v>17.2</v>
      </c>
      <c r="D25" s="11"/>
      <c r="G25" s="5">
        <f>SUMIF(A24,B5:B14,I5:I14)</f>
        <v>0</v>
      </c>
      <c r="U25" s="12"/>
    </row>
    <row r="26" spans="1:27" ht="19.5" customHeight="1">
      <c r="A26" s="11" t="s">
        <v>38</v>
      </c>
      <c r="B26" s="11"/>
      <c r="C26" s="11"/>
      <c r="D26" s="11"/>
      <c r="I26" s="5" t="s">
        <v>39</v>
      </c>
    </row>
    <row r="27" spans="1:27" ht="19.5" customHeight="1">
      <c r="A27" s="11"/>
      <c r="B27" s="11">
        <f>COUNTA(B5:B14)</f>
        <v>10</v>
      </c>
      <c r="C27" s="11" t="s">
        <v>40</v>
      </c>
      <c r="D27" s="11"/>
      <c r="J27">
        <f>COUNTA(B5:B14)</f>
        <v>10</v>
      </c>
    </row>
    <row r="28" spans="1:27" ht="19.5" customHeight="1">
      <c r="A28" s="11"/>
      <c r="B28" s="11"/>
      <c r="C28" s="11"/>
      <c r="D28" s="11"/>
    </row>
    <row r="29" spans="1:27" ht="19.5" customHeight="1">
      <c r="A29" s="11"/>
      <c r="B29" s="11"/>
      <c r="C29" s="11"/>
      <c r="D29" s="11"/>
    </row>
    <row r="30" spans="1:27" ht="19.5" customHeight="1">
      <c r="A30" s="11" t="s">
        <v>41</v>
      </c>
      <c r="B30" s="11"/>
      <c r="C30" s="11"/>
      <c r="D30" s="11"/>
      <c r="I30" s="5" t="s">
        <v>30</v>
      </c>
    </row>
    <row r="31" spans="1:27" ht="15.75" customHeight="1">
      <c r="E31" s="5" t="s">
        <v>42</v>
      </c>
      <c r="F31" s="5" t="s">
        <v>43</v>
      </c>
      <c r="J31" s="283" t="s">
        <v>1221</v>
      </c>
      <c r="K31" s="283" t="s">
        <v>1222</v>
      </c>
      <c r="V31" s="13"/>
    </row>
    <row r="32" spans="1:27" ht="15.75" customHeight="1">
      <c r="D32" s="5" t="s">
        <v>3</v>
      </c>
      <c r="J32">
        <f>COUNTIF(C5:C14,"&gt;20")</f>
        <v>4</v>
      </c>
      <c r="K32">
        <f>COUNTIF(D5:D14,"&gt;20")</f>
        <v>0</v>
      </c>
    </row>
    <row r="33" spans="4:11" ht="15.75" customHeight="1">
      <c r="D33" s="5" t="s">
        <v>4</v>
      </c>
      <c r="J33">
        <f>COUNTIF(C5:C14,"&lt;15")</f>
        <v>1</v>
      </c>
      <c r="K33">
        <f>COUNTIF(D5:D14,"&lt;15")</f>
        <v>6</v>
      </c>
    </row>
    <row r="34" spans="4:11" ht="15.75" customHeight="1"/>
    <row r="35" spans="4:11" ht="15.75" customHeight="1"/>
    <row r="36" spans="4:11" ht="15.75" customHeight="1"/>
    <row r="37" spans="4:11" ht="15.75" customHeight="1"/>
    <row r="38" spans="4:11" ht="15.75" customHeight="1"/>
    <row r="39" spans="4:11" ht="15.75" customHeight="1"/>
    <row r="40" spans="4:11" ht="15.75" customHeight="1"/>
    <row r="41" spans="4:11" ht="15.75" customHeight="1"/>
    <row r="42" spans="4:11" ht="15.75" customHeight="1"/>
    <row r="43" spans="4:11" ht="15.75" customHeight="1"/>
    <row r="44" spans="4:11" ht="15.75" customHeight="1"/>
    <row r="45" spans="4:11" ht="15.75" customHeight="1"/>
    <row r="46" spans="4:11" ht="15.75" customHeight="1"/>
    <row r="47" spans="4:11" ht="15.75" customHeight="1"/>
    <row r="48" spans="4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/>
    <row r="7918" ht="15.75" customHeight="1"/>
    <row r="7919" ht="15.75" customHeight="1"/>
    <row r="7920" ht="15.75" customHeight="1"/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/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/>
    <row r="8251" ht="15.75" customHeight="1"/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/>
    <row r="8287" ht="15.75" customHeight="1"/>
    <row r="8288" ht="15.75" customHeight="1"/>
    <row r="8289" ht="15.75" customHeight="1"/>
    <row r="8290" ht="15.75" customHeight="1"/>
    <row r="8291" ht="15.75" customHeight="1"/>
    <row r="8292" ht="15.75" customHeight="1"/>
    <row r="8293" ht="15.75" customHeight="1"/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/>
    <row r="8430" ht="15.75" customHeight="1"/>
    <row r="8431" ht="15.75" customHeight="1"/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/>
    <row r="8469" ht="15.75" customHeight="1"/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/>
    <row r="8484" ht="15.75" customHeight="1"/>
    <row r="8485" ht="15.75" customHeight="1"/>
    <row r="8486" ht="15.75" customHeight="1"/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/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/>
    <row r="9220" ht="15.75" customHeight="1"/>
    <row r="9221" ht="15.75" customHeight="1"/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/>
    <row r="9308" ht="15.75" customHeight="1"/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/>
    <row r="9328" ht="15.75" customHeight="1"/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/>
    <row r="9339" ht="15.75" customHeight="1"/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/>
    <row r="9387" ht="15.75" customHeight="1"/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/>
    <row r="9404" ht="15.75" customHeight="1"/>
    <row r="9405" ht="15.75" customHeight="1"/>
    <row r="9406" ht="15.75" customHeight="1"/>
    <row r="9407" ht="15.75" customHeight="1"/>
    <row r="9408" ht="15.75" customHeight="1"/>
    <row r="9409" ht="15.75" customHeight="1"/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/>
    <row r="9466" ht="15.75" customHeight="1"/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/>
    <row r="9496" ht="15.75" customHeight="1"/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/>
    <row r="9529" ht="15.75" customHeight="1"/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  <row r="9578" ht="15.75" customHeight="1"/>
    <row r="9579" ht="15.75" customHeight="1"/>
    <row r="9580" ht="15.75" customHeight="1"/>
    <row r="9581" ht="15.75" customHeight="1"/>
    <row r="9582" ht="15.75" customHeight="1"/>
    <row r="9583" ht="15.75" customHeight="1"/>
    <row r="9584" ht="15.75" customHeight="1"/>
    <row r="9585" ht="15.75" customHeight="1"/>
    <row r="9586" ht="15.75" customHeight="1"/>
    <row r="9587" ht="15.75" customHeight="1"/>
    <row r="9588" ht="15.75" customHeight="1"/>
    <row r="9589" ht="15.75" customHeight="1"/>
    <row r="9590" ht="15.75" customHeight="1"/>
    <row r="9591" ht="15.75" customHeight="1"/>
    <row r="9592" ht="15.75" customHeight="1"/>
    <row r="9593" ht="15.75" customHeight="1"/>
    <row r="9594" ht="15.75" customHeight="1"/>
    <row r="9595" ht="15.75" customHeight="1"/>
    <row r="9596" ht="15.75" customHeight="1"/>
    <row r="9597" ht="15.75" customHeight="1"/>
    <row r="9598" ht="15.75" customHeight="1"/>
    <row r="9599" ht="15.75" customHeight="1"/>
    <row r="9600" ht="15.75" customHeight="1"/>
    <row r="9601" ht="15.75" customHeight="1"/>
    <row r="9602" ht="15.75" customHeight="1"/>
    <row r="9603" ht="15.75" customHeight="1"/>
    <row r="9604" ht="15.75" customHeight="1"/>
    <row r="9605" ht="15.75" customHeight="1"/>
    <row r="9606" ht="15.75" customHeight="1"/>
    <row r="9607" ht="15.75" customHeight="1"/>
    <row r="9608" ht="15.75" customHeight="1"/>
    <row r="9609" ht="15.75" customHeight="1"/>
    <row r="9610" ht="15.75" customHeight="1"/>
    <row r="9611" ht="15.75" customHeight="1"/>
    <row r="9612" ht="15.75" customHeight="1"/>
    <row r="9613" ht="15.75" customHeight="1"/>
    <row r="9614" ht="15.75" customHeight="1"/>
    <row r="9615" ht="15.75" customHeight="1"/>
    <row r="9616" ht="15.75" customHeight="1"/>
    <row r="9617" ht="15.75" customHeight="1"/>
    <row r="9618" ht="15.75" customHeight="1"/>
    <row r="9619" ht="15.75" customHeight="1"/>
    <row r="9620" ht="15.75" customHeight="1"/>
    <row r="9621" ht="15.75" customHeight="1"/>
    <row r="9622" ht="15.75" customHeight="1"/>
    <row r="9623" ht="15.75" customHeight="1"/>
    <row r="9624" ht="15.75" customHeight="1"/>
    <row r="9625" ht="15.75" customHeight="1"/>
    <row r="9626" ht="15.75" customHeight="1"/>
    <row r="9627" ht="15.75" customHeight="1"/>
    <row r="9628" ht="15.75" customHeight="1"/>
    <row r="9629" ht="15.75" customHeight="1"/>
    <row r="9630" ht="15.75" customHeight="1"/>
    <row r="9631" ht="15.75" customHeight="1"/>
    <row r="9632" ht="15.75" customHeight="1"/>
    <row r="9633" ht="15.75" customHeight="1"/>
    <row r="9634" ht="15.75" customHeight="1"/>
    <row r="9635" ht="15.75" customHeight="1"/>
    <row r="9636" ht="15.75" customHeight="1"/>
    <row r="9637" ht="15.75" customHeight="1"/>
    <row r="9638" ht="15.75" customHeight="1"/>
    <row r="9639" ht="15.75" customHeight="1"/>
    <row r="9640" ht="15.75" customHeight="1"/>
    <row r="9641" ht="15.75" customHeight="1"/>
    <row r="9642" ht="15.75" customHeight="1"/>
    <row r="9643" ht="15.75" customHeight="1"/>
    <row r="9644" ht="15.75" customHeight="1"/>
    <row r="9645" ht="15.75" customHeight="1"/>
    <row r="9646" ht="15.75" customHeight="1"/>
    <row r="9647" ht="15.75" customHeight="1"/>
    <row r="9648" ht="15.75" customHeight="1"/>
    <row r="9649" ht="15.75" customHeight="1"/>
    <row r="9650" ht="15.75" customHeight="1"/>
    <row r="9651" ht="15.75" customHeight="1"/>
    <row r="9652" ht="15.75" customHeight="1"/>
    <row r="9653" ht="15.75" customHeight="1"/>
    <row r="9654" ht="15.75" customHeight="1"/>
    <row r="9655" ht="15.75" customHeight="1"/>
    <row r="9656" ht="15.75" customHeight="1"/>
    <row r="9657" ht="15.75" customHeight="1"/>
    <row r="9658" ht="15.75" customHeight="1"/>
    <row r="9659" ht="15.75" customHeight="1"/>
    <row r="9660" ht="15.75" customHeight="1"/>
    <row r="9661" ht="15.75" customHeight="1"/>
    <row r="9662" ht="15.75" customHeight="1"/>
    <row r="9663" ht="15.75" customHeight="1"/>
    <row r="9664" ht="15.75" customHeight="1"/>
    <row r="9665" ht="15.75" customHeight="1"/>
    <row r="9666" ht="15.75" customHeight="1"/>
    <row r="9667" ht="15.75" customHeight="1"/>
    <row r="9668" ht="15.75" customHeight="1"/>
    <row r="9669" ht="15.75" customHeight="1"/>
    <row r="9670" ht="15.75" customHeight="1"/>
    <row r="9671" ht="15.75" customHeight="1"/>
    <row r="9672" ht="15.75" customHeight="1"/>
    <row r="9673" ht="15.75" customHeight="1"/>
    <row r="9674" ht="15.75" customHeight="1"/>
    <row r="9675" ht="15.75" customHeight="1"/>
    <row r="9676" ht="15.75" customHeight="1"/>
    <row r="9677" ht="15.75" customHeight="1"/>
    <row r="9678" ht="15.75" customHeight="1"/>
    <row r="9679" ht="15.75" customHeight="1"/>
    <row r="9680" ht="15.75" customHeight="1"/>
    <row r="9681" ht="15.75" customHeight="1"/>
    <row r="9682" ht="15.75" customHeight="1"/>
    <row r="9683" ht="15.75" customHeight="1"/>
    <row r="9684" ht="15.75" customHeight="1"/>
    <row r="9685" ht="15.75" customHeight="1"/>
    <row r="9686" ht="15.75" customHeight="1"/>
    <row r="9687" ht="15.75" customHeight="1"/>
    <row r="9688" ht="15.75" customHeight="1"/>
    <row r="9689" ht="15.75" customHeight="1"/>
    <row r="9690" ht="15.75" customHeight="1"/>
    <row r="9691" ht="15.75" customHeight="1"/>
    <row r="9692" ht="15.75" customHeight="1"/>
    <row r="9693" ht="15.75" customHeight="1"/>
    <row r="9694" ht="15.75" customHeight="1"/>
    <row r="9695" ht="15.75" customHeight="1"/>
    <row r="9696" ht="15.75" customHeight="1"/>
    <row r="9697" ht="15.75" customHeight="1"/>
    <row r="9698" ht="15.75" customHeight="1"/>
    <row r="9699" ht="15.75" customHeight="1"/>
    <row r="9700" ht="15.75" customHeight="1"/>
    <row r="9701" ht="15.75" customHeight="1"/>
    <row r="9702" ht="15.75" customHeight="1"/>
    <row r="9703" ht="15.75" customHeight="1"/>
    <row r="9704" ht="15.75" customHeight="1"/>
    <row r="9705" ht="15.75" customHeight="1"/>
    <row r="9706" ht="15.75" customHeight="1"/>
    <row r="9707" ht="15.75" customHeight="1"/>
    <row r="9708" ht="15.75" customHeight="1"/>
    <row r="9709" ht="15.75" customHeight="1"/>
    <row r="9710" ht="15.75" customHeight="1"/>
    <row r="9711" ht="15.75" customHeight="1"/>
    <row r="9712" ht="15.75" customHeight="1"/>
    <row r="9713" ht="15.75" customHeight="1"/>
    <row r="9714" ht="15.75" customHeight="1"/>
    <row r="9715" ht="15.75" customHeight="1"/>
    <row r="9716" ht="15.75" customHeight="1"/>
    <row r="9717" ht="15.75" customHeight="1"/>
    <row r="9718" ht="15.75" customHeight="1"/>
    <row r="9719" ht="15.75" customHeight="1"/>
    <row r="9720" ht="15.75" customHeight="1"/>
    <row r="9721" ht="15.75" customHeight="1"/>
    <row r="9722" ht="15.75" customHeight="1"/>
    <row r="9723" ht="15.75" customHeight="1"/>
    <row r="9724" ht="15.75" customHeight="1"/>
    <row r="9725" ht="15.75" customHeight="1"/>
    <row r="9726" ht="15.75" customHeight="1"/>
    <row r="9727" ht="15.75" customHeight="1"/>
    <row r="9728" ht="15.75" customHeight="1"/>
    <row r="9729" ht="15.75" customHeight="1"/>
    <row r="9730" ht="15.75" customHeight="1"/>
    <row r="9731" ht="15.75" customHeight="1"/>
    <row r="9732" ht="15.75" customHeight="1"/>
    <row r="9733" ht="15.75" customHeight="1"/>
    <row r="9734" ht="15.75" customHeight="1"/>
    <row r="9735" ht="15.75" customHeight="1"/>
    <row r="9736" ht="15.75" customHeight="1"/>
    <row r="9737" ht="15.75" customHeight="1"/>
    <row r="9738" ht="15.75" customHeight="1"/>
    <row r="9739" ht="15.75" customHeight="1"/>
    <row r="9740" ht="15.75" customHeight="1"/>
    <row r="9741" ht="15.75" customHeight="1"/>
    <row r="9742" ht="15.75" customHeight="1"/>
    <row r="9743" ht="15.75" customHeight="1"/>
    <row r="9744" ht="15.75" customHeight="1"/>
    <row r="9745" ht="15.75" customHeight="1"/>
    <row r="9746" ht="15.75" customHeight="1"/>
    <row r="9747" ht="15.75" customHeight="1"/>
    <row r="9748" ht="15.75" customHeight="1"/>
    <row r="9749" ht="15.75" customHeight="1"/>
    <row r="9750" ht="15.75" customHeight="1"/>
    <row r="9751" ht="15.75" customHeight="1"/>
    <row r="9752" ht="15.75" customHeight="1"/>
    <row r="9753" ht="15.75" customHeight="1"/>
    <row r="9754" ht="15.75" customHeight="1"/>
    <row r="9755" ht="15.75" customHeight="1"/>
    <row r="9756" ht="15.75" customHeight="1"/>
    <row r="9757" ht="15.75" customHeight="1"/>
    <row r="9758" ht="15.75" customHeight="1"/>
    <row r="9759" ht="15.75" customHeight="1"/>
    <row r="9760" ht="15.75" customHeight="1"/>
    <row r="9761" ht="15.75" customHeight="1"/>
    <row r="9762" ht="15.75" customHeight="1"/>
    <row r="9763" ht="15.75" customHeight="1"/>
    <row r="9764" ht="15.75" customHeight="1"/>
    <row r="9765" ht="15.75" customHeight="1"/>
    <row r="9766" ht="15.75" customHeight="1"/>
    <row r="9767" ht="15.75" customHeight="1"/>
    <row r="9768" ht="15.75" customHeight="1"/>
    <row r="9769" ht="15.75" customHeight="1"/>
    <row r="9770" ht="15.75" customHeight="1"/>
    <row r="9771" ht="15.75" customHeight="1"/>
    <row r="9772" ht="15.75" customHeight="1"/>
    <row r="9773" ht="15.75" customHeight="1"/>
    <row r="9774" ht="15.75" customHeight="1"/>
    <row r="9775" ht="15.75" customHeight="1"/>
    <row r="9776" ht="15.75" customHeight="1"/>
    <row r="9777" ht="15.75" customHeight="1"/>
    <row r="9778" ht="15.75" customHeight="1"/>
    <row r="9779" ht="15.75" customHeight="1"/>
    <row r="9780" ht="15.75" customHeight="1"/>
    <row r="9781" ht="15.75" customHeight="1"/>
    <row r="9782" ht="15.75" customHeight="1"/>
    <row r="9783" ht="15.75" customHeight="1"/>
    <row r="9784" ht="15.75" customHeight="1"/>
    <row r="9785" ht="15.75" customHeight="1"/>
    <row r="9786" ht="15.75" customHeight="1"/>
    <row r="9787" ht="15.75" customHeight="1"/>
    <row r="9788" ht="15.75" customHeight="1"/>
    <row r="9789" ht="15.75" customHeight="1"/>
    <row r="9790" ht="15.75" customHeight="1"/>
    <row r="9791" ht="15.75" customHeight="1"/>
    <row r="9792" ht="15.75" customHeight="1"/>
    <row r="9793" ht="15.75" customHeight="1"/>
    <row r="9794" ht="15.75" customHeight="1"/>
    <row r="9795" ht="15.75" customHeight="1"/>
    <row r="9796" ht="15.75" customHeight="1"/>
    <row r="9797" ht="15.75" customHeight="1"/>
    <row r="9798" ht="15.75" customHeight="1"/>
    <row r="9799" ht="15.75" customHeight="1"/>
    <row r="9800" ht="15.75" customHeight="1"/>
    <row r="9801" ht="15.75" customHeight="1"/>
    <row r="9802" ht="15.75" customHeight="1"/>
    <row r="9803" ht="15.75" customHeight="1"/>
    <row r="9804" ht="15.75" customHeight="1"/>
    <row r="9805" ht="15.75" customHeight="1"/>
    <row r="9806" ht="15.75" customHeight="1"/>
    <row r="9807" ht="15.75" customHeight="1"/>
    <row r="9808" ht="15.75" customHeight="1"/>
    <row r="9809" ht="15.75" customHeight="1"/>
    <row r="9810" ht="15.75" customHeight="1"/>
    <row r="9811" ht="15.75" customHeight="1"/>
    <row r="9812" ht="15.75" customHeight="1"/>
    <row r="9813" ht="15.75" customHeight="1"/>
    <row r="9814" ht="15.75" customHeight="1"/>
    <row r="9815" ht="15.75" customHeight="1"/>
    <row r="9816" ht="15.75" customHeight="1"/>
    <row r="9817" ht="15.75" customHeight="1"/>
    <row r="9818" ht="15.75" customHeight="1"/>
    <row r="9819" ht="15.75" customHeight="1"/>
    <row r="9820" ht="15.75" customHeight="1"/>
    <row r="9821" ht="15.75" customHeight="1"/>
    <row r="9822" ht="15.75" customHeight="1"/>
    <row r="9823" ht="15.75" customHeight="1"/>
    <row r="9824" ht="15.75" customHeight="1"/>
    <row r="9825" ht="15.75" customHeight="1"/>
    <row r="9826" ht="15.75" customHeight="1"/>
    <row r="9827" ht="15.75" customHeight="1"/>
    <row r="9828" ht="15.75" customHeight="1"/>
    <row r="9829" ht="15.75" customHeight="1"/>
    <row r="9830" ht="15.75" customHeight="1"/>
    <row r="9831" ht="15.75" customHeight="1"/>
    <row r="9832" ht="15.75" customHeight="1"/>
    <row r="9833" ht="15.75" customHeight="1"/>
    <row r="9834" ht="15.75" customHeight="1"/>
    <row r="9835" ht="15.75" customHeight="1"/>
    <row r="9836" ht="15.75" customHeight="1"/>
    <row r="9837" ht="15.75" customHeight="1"/>
    <row r="9838" ht="15.75" customHeight="1"/>
    <row r="9839" ht="15.75" customHeight="1"/>
    <row r="9840" ht="15.75" customHeight="1"/>
    <row r="9841" ht="15.75" customHeight="1"/>
    <row r="9842" ht="15.75" customHeight="1"/>
    <row r="9843" ht="15.75" customHeight="1"/>
    <row r="9844" ht="15.75" customHeight="1"/>
    <row r="9845" ht="15.75" customHeight="1"/>
    <row r="9846" ht="15.75" customHeight="1"/>
    <row r="9847" ht="15.75" customHeight="1"/>
    <row r="9848" ht="15.75" customHeight="1"/>
    <row r="9849" ht="15.75" customHeight="1"/>
    <row r="9850" ht="15.75" customHeight="1"/>
    <row r="9851" ht="15.75" customHeight="1"/>
    <row r="9852" ht="15.75" customHeight="1"/>
    <row r="9853" ht="15.75" customHeight="1"/>
    <row r="9854" ht="15.75" customHeight="1"/>
    <row r="9855" ht="15.75" customHeight="1"/>
    <row r="9856" ht="15.75" customHeight="1"/>
    <row r="9857" ht="15.75" customHeight="1"/>
    <row r="9858" ht="15.75" customHeight="1"/>
    <row r="9859" ht="15.75" customHeight="1"/>
    <row r="9860" ht="15.75" customHeight="1"/>
    <row r="9861" ht="15.75" customHeight="1"/>
    <row r="9862" ht="15.75" customHeight="1"/>
    <row r="9863" ht="15.75" customHeight="1"/>
    <row r="9864" ht="15.75" customHeight="1"/>
    <row r="9865" ht="15.75" customHeight="1"/>
    <row r="9866" ht="15.75" customHeight="1"/>
    <row r="9867" ht="15.75" customHeight="1"/>
    <row r="9868" ht="15.75" customHeight="1"/>
    <row r="9869" ht="15.75" customHeight="1"/>
    <row r="9870" ht="15.75" customHeight="1"/>
    <row r="9871" ht="15.75" customHeight="1"/>
    <row r="9872" ht="15.75" customHeight="1"/>
    <row r="9873" ht="15.75" customHeight="1"/>
    <row r="9874" ht="15.75" customHeight="1"/>
    <row r="9875" ht="15.75" customHeight="1"/>
    <row r="9876" ht="15.75" customHeight="1"/>
    <row r="9877" ht="15.75" customHeight="1"/>
    <row r="9878" ht="15.75" customHeight="1"/>
    <row r="9879" ht="15.75" customHeight="1"/>
    <row r="9880" ht="15.75" customHeight="1"/>
    <row r="9881" ht="15.75" customHeight="1"/>
    <row r="9882" ht="15.75" customHeight="1"/>
    <row r="9883" ht="15.75" customHeight="1"/>
    <row r="9884" ht="15.75" customHeight="1"/>
    <row r="9885" ht="15.75" customHeight="1"/>
    <row r="9886" ht="15.75" customHeight="1"/>
    <row r="9887" ht="15.75" customHeight="1"/>
    <row r="9888" ht="15.75" customHeight="1"/>
    <row r="9889" ht="15.75" customHeight="1"/>
    <row r="9890" ht="15.75" customHeight="1"/>
    <row r="9891" ht="15.75" customHeight="1"/>
    <row r="9892" ht="15.75" customHeight="1"/>
    <row r="9893" ht="15.75" customHeight="1"/>
    <row r="9894" ht="15.75" customHeight="1"/>
    <row r="9895" ht="15.75" customHeight="1"/>
    <row r="9896" ht="15.75" customHeight="1"/>
    <row r="9897" ht="15.75" customHeight="1"/>
    <row r="9898" ht="15.75" customHeight="1"/>
    <row r="9899" ht="15.75" customHeight="1"/>
    <row r="9900" ht="15.75" customHeight="1"/>
    <row r="9901" ht="15.75" customHeight="1"/>
    <row r="9902" ht="15.75" customHeight="1"/>
    <row r="9903" ht="15.75" customHeight="1"/>
    <row r="9904" ht="15.75" customHeight="1"/>
    <row r="9905" ht="15.75" customHeight="1"/>
    <row r="9906" ht="15.75" customHeight="1"/>
    <row r="9907" ht="15.75" customHeight="1"/>
    <row r="9908" ht="15.75" customHeight="1"/>
    <row r="9909" ht="15.75" customHeight="1"/>
    <row r="9910" ht="15.75" customHeight="1"/>
    <row r="9911" ht="15.75" customHeight="1"/>
    <row r="9912" ht="15.75" customHeight="1"/>
    <row r="9913" ht="15.75" customHeight="1"/>
    <row r="9914" ht="15.75" customHeight="1"/>
    <row r="9915" ht="15.75" customHeight="1"/>
    <row r="9916" ht="15.75" customHeight="1"/>
    <row r="9917" ht="15.75" customHeight="1"/>
    <row r="9918" ht="15.75" customHeight="1"/>
    <row r="9919" ht="15.75" customHeight="1"/>
    <row r="9920" ht="15.75" customHeight="1"/>
    <row r="9921" ht="15.75" customHeight="1"/>
    <row r="9922" ht="15.75" customHeight="1"/>
    <row r="9923" ht="15.75" customHeight="1"/>
    <row r="9924" ht="15.75" customHeight="1"/>
    <row r="9925" ht="15.75" customHeight="1"/>
    <row r="9926" ht="15.75" customHeight="1"/>
    <row r="9927" ht="15.75" customHeight="1"/>
    <row r="9928" ht="15.75" customHeight="1"/>
    <row r="9929" ht="15.75" customHeight="1"/>
    <row r="9930" ht="15.75" customHeight="1"/>
    <row r="9931" ht="15.75" customHeight="1"/>
    <row r="9932" ht="15.75" customHeight="1"/>
    <row r="9933" ht="15.75" customHeight="1"/>
    <row r="9934" ht="15.75" customHeight="1"/>
    <row r="9935" ht="15.75" customHeight="1"/>
    <row r="9936" ht="15.75" customHeight="1"/>
    <row r="9937" ht="15.75" customHeight="1"/>
    <row r="9938" ht="15.75" customHeight="1"/>
    <row r="9939" ht="15.75" customHeight="1"/>
    <row r="9940" ht="15.75" customHeight="1"/>
    <row r="9941" ht="15.75" customHeight="1"/>
    <row r="9942" ht="15.75" customHeight="1"/>
    <row r="9943" ht="15.75" customHeight="1"/>
    <row r="9944" ht="15.75" customHeight="1"/>
    <row r="9945" ht="15.75" customHeight="1"/>
    <row r="9946" ht="15.75" customHeight="1"/>
    <row r="9947" ht="15.75" customHeight="1"/>
    <row r="9948" ht="15.75" customHeight="1"/>
    <row r="9949" ht="15.75" customHeight="1"/>
    <row r="9950" ht="15.75" customHeight="1"/>
    <row r="9951" ht="15.75" customHeight="1"/>
    <row r="9952" ht="15.75" customHeight="1"/>
    <row r="9953" ht="15.75" customHeight="1"/>
    <row r="9954" ht="15.75" customHeight="1"/>
    <row r="9955" ht="15.75" customHeight="1"/>
    <row r="9956" ht="15.75" customHeight="1"/>
    <row r="9957" ht="15.75" customHeight="1"/>
    <row r="9958" ht="15.75" customHeight="1"/>
    <row r="9959" ht="15.75" customHeight="1"/>
    <row r="9960" ht="15.75" customHeight="1"/>
    <row r="9961" ht="15.75" customHeight="1"/>
    <row r="9962" ht="15.75" customHeight="1"/>
    <row r="9963" ht="15.75" customHeight="1"/>
    <row r="9964" ht="15.75" customHeight="1"/>
    <row r="9965" ht="15.75" customHeight="1"/>
    <row r="9966" ht="15.75" customHeight="1"/>
    <row r="9967" ht="15.75" customHeight="1"/>
    <row r="9968" ht="15.75" customHeight="1"/>
    <row r="9969" ht="15.75" customHeight="1"/>
    <row r="9970" ht="15.75" customHeight="1"/>
    <row r="9971" ht="15.75" customHeight="1"/>
    <row r="9972" ht="15.75" customHeight="1"/>
    <row r="9973" ht="15.75" customHeight="1"/>
    <row r="9974" ht="15.75" customHeight="1"/>
    <row r="9975" ht="15.75" customHeight="1"/>
    <row r="9976" ht="15.75" customHeight="1"/>
    <row r="9977" ht="15.75" customHeight="1"/>
    <row r="9978" ht="15.75" customHeight="1"/>
    <row r="9979" ht="15.75" customHeight="1"/>
    <row r="9980" ht="15.75" customHeight="1"/>
    <row r="9981" ht="15.75" customHeight="1"/>
    <row r="9982" ht="15.75" customHeight="1"/>
    <row r="9983" ht="15.75" customHeight="1"/>
    <row r="9984" ht="15.75" customHeight="1"/>
    <row r="9985" ht="15.75" customHeight="1"/>
    <row r="9986" ht="15.75" customHeight="1"/>
    <row r="9987" ht="15.75" customHeight="1"/>
    <row r="9988" ht="15.75" customHeight="1"/>
    <row r="9989" ht="15.75" customHeight="1"/>
    <row r="9990" ht="15.75" customHeight="1"/>
    <row r="9991" ht="15.75" customHeight="1"/>
    <row r="9992" ht="15.75" customHeight="1"/>
    <row r="9993" ht="15.75" customHeight="1"/>
    <row r="9994" ht="15.75" customHeight="1"/>
    <row r="9995" ht="15.75" customHeight="1"/>
    <row r="9996" ht="15.75" customHeight="1"/>
    <row r="9997" ht="15.75" customHeight="1"/>
    <row r="9998" ht="15.75" customHeight="1"/>
    <row r="9999" ht="15.75" customHeight="1"/>
    <row r="10000" ht="15.75" customHeight="1"/>
    <row r="10001" ht="15.75" customHeight="1"/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  <row r="10015" ht="15.75" customHeight="1"/>
    <row r="10016" ht="15.75" customHeight="1"/>
    <row r="10017" ht="15.75" customHeight="1"/>
    <row r="10018" ht="15.75" customHeight="1"/>
    <row r="10019" ht="15.75" customHeight="1"/>
    <row r="10020" ht="15.75" customHeight="1"/>
    <row r="10021" ht="15.75" customHeight="1"/>
    <row r="10022" ht="15.75" customHeight="1"/>
    <row r="10023" ht="15.75" customHeight="1"/>
    <row r="10024" ht="15.75" customHeight="1"/>
    <row r="10025" ht="15.75" customHeight="1"/>
    <row r="10026" ht="15.75" customHeight="1"/>
    <row r="10027" ht="15.75" customHeight="1"/>
    <row r="10028" ht="15.75" customHeight="1"/>
    <row r="10029" ht="15.75" customHeight="1"/>
    <row r="10030" ht="15.75" customHeight="1"/>
    <row r="10031" ht="15.75" customHeight="1"/>
    <row r="10032" ht="15.75" customHeight="1"/>
    <row r="10033" ht="15.75" customHeight="1"/>
    <row r="10034" ht="15.75" customHeight="1"/>
    <row r="10035" ht="15.75" customHeight="1"/>
    <row r="10036" ht="15.75" customHeight="1"/>
    <row r="10037" ht="15.75" customHeight="1"/>
    <row r="10038" ht="15.75" customHeight="1"/>
    <row r="10039" ht="15.75" customHeight="1"/>
    <row r="10040" ht="15.75" customHeight="1"/>
    <row r="10041" ht="15.75" customHeight="1"/>
    <row r="10042" ht="15.75" customHeight="1"/>
    <row r="10043" ht="15.75" customHeight="1"/>
    <row r="10044" ht="15.75" customHeight="1"/>
    <row r="10045" ht="15.75" customHeight="1"/>
    <row r="10046" ht="15.75" customHeight="1"/>
    <row r="10047" ht="15.75" customHeight="1"/>
    <row r="10048" ht="15.75" customHeight="1"/>
    <row r="10049" ht="15.75" customHeight="1"/>
    <row r="10050" ht="15.75" customHeight="1"/>
    <row r="10051" ht="15.75" customHeight="1"/>
    <row r="10052" ht="15.75" customHeight="1"/>
    <row r="10053" ht="15.75" customHeight="1"/>
    <row r="10054" ht="15.75" customHeight="1"/>
    <row r="10055" ht="15.75" customHeight="1"/>
    <row r="10056" ht="15.75" customHeight="1"/>
    <row r="10057" ht="15.75" customHeight="1"/>
    <row r="10058" ht="15.75" customHeight="1"/>
    <row r="10059" ht="15.75" customHeight="1"/>
    <row r="10060" ht="15.75" customHeight="1"/>
    <row r="10061" ht="15.75" customHeight="1"/>
    <row r="10062" ht="15.75" customHeight="1"/>
    <row r="10063" ht="15.75" customHeight="1"/>
    <row r="10064" ht="15.75" customHeight="1"/>
    <row r="10065" ht="15.75" customHeight="1"/>
    <row r="10066" ht="15.75" customHeight="1"/>
    <row r="10067" ht="15.75" customHeight="1"/>
    <row r="10068" ht="15.75" customHeight="1"/>
    <row r="10069" ht="15.75" customHeight="1"/>
    <row r="10070" ht="15.75" customHeight="1"/>
    <row r="10071" ht="15.75" customHeight="1"/>
    <row r="10072" ht="15.75" customHeight="1"/>
    <row r="10073" ht="15.75" customHeight="1"/>
    <row r="10074" ht="15.75" customHeight="1"/>
    <row r="10075" ht="15.75" customHeight="1"/>
    <row r="10076" ht="15.75" customHeight="1"/>
    <row r="10077" ht="15.75" customHeight="1"/>
    <row r="10078" ht="15.75" customHeight="1"/>
    <row r="10079" ht="15.75" customHeight="1"/>
    <row r="10080" ht="15.75" customHeight="1"/>
    <row r="10081" ht="15.75" customHeight="1"/>
    <row r="10082" ht="15.75" customHeight="1"/>
    <row r="10083" ht="15.75" customHeight="1"/>
    <row r="10084" ht="15.75" customHeight="1"/>
    <row r="10085" ht="15.75" customHeight="1"/>
    <row r="10086" ht="15.75" customHeight="1"/>
    <row r="10087" ht="15.75" customHeight="1"/>
    <row r="10088" ht="15.75" customHeight="1"/>
    <row r="10089" ht="15.75" customHeight="1"/>
    <row r="10090" ht="15.75" customHeight="1"/>
    <row r="10091" ht="15.75" customHeight="1"/>
    <row r="10092" ht="15.75" customHeight="1"/>
    <row r="10093" ht="15.75" customHeight="1"/>
    <row r="10094" ht="15.75" customHeight="1"/>
    <row r="10095" ht="15.75" customHeight="1"/>
    <row r="10096" ht="15.75" customHeight="1"/>
    <row r="10097" ht="15.75" customHeight="1"/>
    <row r="10098" ht="15.75" customHeight="1"/>
    <row r="10099" ht="15.75" customHeight="1"/>
    <row r="10100" ht="15.75" customHeight="1"/>
    <row r="10101" ht="15.75" customHeight="1"/>
    <row r="10102" ht="15.75" customHeight="1"/>
    <row r="10103" ht="15.75" customHeight="1"/>
    <row r="10104" ht="15.75" customHeight="1"/>
    <row r="10105" ht="15.75" customHeight="1"/>
    <row r="10106" ht="15.75" customHeight="1"/>
    <row r="10107" ht="15.75" customHeight="1"/>
    <row r="10108" ht="15.75" customHeight="1"/>
    <row r="10109" ht="15.75" customHeight="1"/>
    <row r="10110" ht="15.75" customHeight="1"/>
    <row r="10111" ht="15.75" customHeight="1"/>
    <row r="10112" ht="15.75" customHeight="1"/>
    <row r="10113" ht="15.75" customHeight="1"/>
    <row r="10114" ht="15.75" customHeight="1"/>
    <row r="10115" ht="15.75" customHeight="1"/>
    <row r="10116" ht="15.75" customHeight="1"/>
    <row r="10117" ht="15.75" customHeight="1"/>
    <row r="10118" ht="15.75" customHeight="1"/>
    <row r="10119" ht="15.75" customHeight="1"/>
    <row r="10120" ht="15.75" customHeight="1"/>
    <row r="10121" ht="15.75" customHeight="1"/>
    <row r="10122" ht="15.75" customHeight="1"/>
    <row r="10123" ht="15.75" customHeight="1"/>
    <row r="10124" ht="15.75" customHeight="1"/>
    <row r="10125" ht="15.75" customHeight="1"/>
    <row r="10126" ht="15.75" customHeight="1"/>
    <row r="10127" ht="15.75" customHeight="1"/>
    <row r="10128" ht="15.75" customHeight="1"/>
    <row r="10129" ht="15.75" customHeight="1"/>
    <row r="10130" ht="15.75" customHeight="1"/>
    <row r="10131" ht="15.75" customHeight="1"/>
    <row r="10132" ht="15.75" customHeight="1"/>
    <row r="10133" ht="15.75" customHeight="1"/>
    <row r="10134" ht="15.75" customHeight="1"/>
    <row r="10135" ht="15.75" customHeight="1"/>
    <row r="10136" ht="15.75" customHeight="1"/>
    <row r="10137" ht="15.75" customHeight="1"/>
    <row r="10138" ht="15.75" customHeight="1"/>
    <row r="10139" ht="15.75" customHeight="1"/>
    <row r="10140" ht="15.75" customHeight="1"/>
    <row r="10141" ht="15.75" customHeight="1"/>
    <row r="10142" ht="15.75" customHeight="1"/>
    <row r="10143" ht="15.75" customHeight="1"/>
    <row r="10144" ht="15.75" customHeight="1"/>
    <row r="10145" ht="15.75" customHeight="1"/>
    <row r="10146" ht="15.75" customHeight="1"/>
    <row r="10147" ht="15.75" customHeight="1"/>
    <row r="10148" ht="15.75" customHeight="1"/>
    <row r="10149" ht="15.75" customHeight="1"/>
    <row r="10150" ht="15.75" customHeight="1"/>
    <row r="10151" ht="15.75" customHeight="1"/>
    <row r="10152" ht="15.75" customHeight="1"/>
    <row r="10153" ht="15.75" customHeight="1"/>
    <row r="10154" ht="15.75" customHeight="1"/>
    <row r="10155" ht="15.75" customHeight="1"/>
    <row r="10156" ht="15.75" customHeight="1"/>
    <row r="10157" ht="15.75" customHeight="1"/>
    <row r="10158" ht="15.75" customHeight="1"/>
    <row r="10159" ht="15.75" customHeight="1"/>
    <row r="10160" ht="15.75" customHeight="1"/>
    <row r="10161" ht="15.75" customHeight="1"/>
    <row r="10162" ht="15.75" customHeight="1"/>
    <row r="10163" ht="15.75" customHeight="1"/>
    <row r="10164" ht="15.75" customHeight="1"/>
    <row r="10165" ht="15.75" customHeight="1"/>
    <row r="10166" ht="15.75" customHeight="1"/>
    <row r="10167" ht="15.75" customHeight="1"/>
    <row r="10168" ht="15.75" customHeight="1"/>
    <row r="10169" ht="15.75" customHeight="1"/>
    <row r="10170" ht="15.75" customHeight="1"/>
    <row r="10171" ht="15.75" customHeight="1"/>
    <row r="10172" ht="15.75" customHeight="1"/>
    <row r="10173" ht="15.75" customHeight="1"/>
    <row r="10174" ht="15.75" customHeight="1"/>
    <row r="10175" ht="15.75" customHeight="1"/>
    <row r="10176" ht="15.75" customHeight="1"/>
    <row r="10177" ht="15.75" customHeight="1"/>
    <row r="10178" ht="15.75" customHeight="1"/>
    <row r="10179" ht="15.75" customHeight="1"/>
    <row r="10180" ht="15.75" customHeight="1"/>
    <row r="10181" ht="15.75" customHeight="1"/>
    <row r="10182" ht="15.75" customHeight="1"/>
    <row r="10183" ht="15.75" customHeight="1"/>
    <row r="10184" ht="15.75" customHeight="1"/>
    <row r="10185" ht="15.75" customHeight="1"/>
    <row r="10186" ht="15.75" customHeight="1"/>
    <row r="10187" ht="15.75" customHeight="1"/>
    <row r="10188" ht="15.75" customHeight="1"/>
    <row r="10189" ht="15.75" customHeight="1"/>
    <row r="10190" ht="15.75" customHeight="1"/>
    <row r="10191" ht="15.75" customHeight="1"/>
    <row r="10192" ht="15.75" customHeight="1"/>
    <row r="10193" ht="15.75" customHeight="1"/>
    <row r="10194" ht="15.75" customHeight="1"/>
    <row r="10195" ht="15.75" customHeight="1"/>
    <row r="10196" ht="15.75" customHeight="1"/>
    <row r="10197" ht="15.75" customHeight="1"/>
    <row r="10198" ht="15.75" customHeight="1"/>
    <row r="10199" ht="15.75" customHeight="1"/>
    <row r="10200" ht="15.75" customHeight="1"/>
    <row r="10201" ht="15.75" customHeight="1"/>
    <row r="10202" ht="15.75" customHeight="1"/>
    <row r="10203" ht="15.75" customHeight="1"/>
    <row r="10204" ht="15.75" customHeight="1"/>
    <row r="10205" ht="15.75" customHeight="1"/>
    <row r="10206" ht="15.75" customHeight="1"/>
    <row r="10207" ht="15.75" customHeight="1"/>
    <row r="10208" ht="15.75" customHeight="1"/>
    <row r="10209" ht="15.75" customHeight="1"/>
    <row r="10210" ht="15.75" customHeight="1"/>
    <row r="10211" ht="15.75" customHeight="1"/>
    <row r="10212" ht="15.75" customHeight="1"/>
    <row r="10213" ht="15.75" customHeight="1"/>
    <row r="10214" ht="15.75" customHeight="1"/>
    <row r="10215" ht="15.75" customHeight="1"/>
    <row r="10216" ht="15.75" customHeight="1"/>
    <row r="10217" ht="15.75" customHeight="1"/>
    <row r="10218" ht="15.75" customHeight="1"/>
    <row r="10219" ht="15.75" customHeight="1"/>
    <row r="10220" ht="15.75" customHeight="1"/>
    <row r="10221" ht="15.75" customHeight="1"/>
    <row r="10222" ht="15.75" customHeight="1"/>
    <row r="10223" ht="15.75" customHeight="1"/>
    <row r="10224" ht="15.75" customHeight="1"/>
    <row r="10225" ht="15.75" customHeight="1"/>
    <row r="10226" ht="15.75" customHeight="1"/>
    <row r="10227" ht="15.75" customHeight="1"/>
    <row r="10228" ht="15.75" customHeight="1"/>
    <row r="10229" ht="15.75" customHeight="1"/>
    <row r="10230" ht="15.75" customHeight="1"/>
    <row r="10231" ht="15.75" customHeight="1"/>
    <row r="10232" ht="15.75" customHeight="1"/>
    <row r="10233" ht="15.75" customHeight="1"/>
    <row r="10234" ht="15.75" customHeight="1"/>
    <row r="10235" ht="15.75" customHeight="1"/>
    <row r="10236" ht="15.75" customHeight="1"/>
    <row r="10237" ht="15.75" customHeight="1"/>
    <row r="10238" ht="15.75" customHeight="1"/>
    <row r="10239" ht="15.75" customHeight="1"/>
    <row r="10240" ht="15.75" customHeight="1"/>
    <row r="10241" ht="15.75" customHeight="1"/>
    <row r="10242" ht="15.75" customHeight="1"/>
    <row r="10243" ht="15.75" customHeight="1"/>
    <row r="10244" ht="15.75" customHeight="1"/>
    <row r="10245" ht="15.75" customHeight="1"/>
    <row r="10246" ht="15.75" customHeight="1"/>
    <row r="10247" ht="15.75" customHeight="1"/>
    <row r="10248" ht="15.75" customHeight="1"/>
    <row r="10249" ht="15.75" customHeight="1"/>
    <row r="10250" ht="15.75" customHeight="1"/>
    <row r="10251" ht="15.75" customHeight="1"/>
    <row r="10252" ht="15.75" customHeight="1"/>
    <row r="10253" ht="15.75" customHeight="1"/>
    <row r="10254" ht="15.75" customHeight="1"/>
    <row r="10255" ht="15.75" customHeight="1"/>
    <row r="10256" ht="15.75" customHeight="1"/>
    <row r="10257" ht="15.75" customHeight="1"/>
    <row r="10258" ht="15.75" customHeight="1"/>
    <row r="10259" ht="15.75" customHeight="1"/>
    <row r="10260" ht="15.75" customHeight="1"/>
    <row r="10261" ht="15.75" customHeight="1"/>
    <row r="10262" ht="15.75" customHeight="1"/>
    <row r="10263" ht="15.75" customHeight="1"/>
    <row r="10264" ht="15.75" customHeight="1"/>
    <row r="10265" ht="15.75" customHeight="1"/>
    <row r="10266" ht="15.75" customHeight="1"/>
    <row r="10267" ht="15.75" customHeight="1"/>
    <row r="10268" ht="15.75" customHeight="1"/>
    <row r="10269" ht="15.75" customHeight="1"/>
    <row r="10270" ht="15.75" customHeight="1"/>
    <row r="10271" ht="15.75" customHeight="1"/>
    <row r="10272" ht="15.75" customHeight="1"/>
    <row r="10273" ht="15.75" customHeight="1"/>
    <row r="10274" ht="15.75" customHeight="1"/>
    <row r="10275" ht="15.75" customHeight="1"/>
    <row r="10276" ht="15.75" customHeight="1"/>
    <row r="10277" ht="15.75" customHeight="1"/>
    <row r="10278" ht="15.75" customHeight="1"/>
    <row r="10279" ht="15.75" customHeight="1"/>
    <row r="10280" ht="15.75" customHeight="1"/>
    <row r="10281" ht="15.75" customHeight="1"/>
    <row r="10282" ht="15.75" customHeight="1"/>
    <row r="10283" ht="15.75" customHeight="1"/>
    <row r="10284" ht="15.75" customHeight="1"/>
    <row r="10285" ht="15.75" customHeight="1"/>
    <row r="10286" ht="15.75" customHeight="1"/>
    <row r="10287" ht="15.75" customHeight="1"/>
    <row r="10288" ht="15.75" customHeight="1"/>
    <row r="10289" ht="15.75" customHeight="1"/>
    <row r="10290" ht="15.75" customHeight="1"/>
    <row r="10291" ht="15.75" customHeight="1"/>
    <row r="10292" ht="15.75" customHeight="1"/>
    <row r="10293" ht="15.75" customHeight="1"/>
    <row r="10294" ht="15.75" customHeight="1"/>
    <row r="10295" ht="15.75" customHeight="1"/>
    <row r="10296" ht="15.75" customHeight="1"/>
    <row r="10297" ht="15.75" customHeight="1"/>
    <row r="10298" ht="15.75" customHeight="1"/>
    <row r="10299" ht="15.75" customHeight="1"/>
    <row r="10300" ht="15.75" customHeight="1"/>
    <row r="10301" ht="15.75" customHeight="1"/>
    <row r="10302" ht="15.75" customHeight="1"/>
    <row r="10303" ht="15.75" customHeight="1"/>
    <row r="10304" ht="15.75" customHeight="1"/>
    <row r="10305" ht="15.75" customHeight="1"/>
    <row r="10306" ht="15.75" customHeight="1"/>
    <row r="10307" ht="15.75" customHeight="1"/>
    <row r="10308" ht="15.75" customHeight="1"/>
    <row r="10309" ht="15.75" customHeight="1"/>
    <row r="10310" ht="15.75" customHeight="1"/>
    <row r="10311" ht="15.75" customHeight="1"/>
    <row r="10312" ht="15.75" customHeight="1"/>
    <row r="10313" ht="15.75" customHeight="1"/>
    <row r="10314" ht="15.75" customHeight="1"/>
    <row r="10315" ht="15.75" customHeight="1"/>
    <row r="10316" ht="15.75" customHeight="1"/>
    <row r="10317" ht="15.75" customHeight="1"/>
    <row r="10318" ht="15.75" customHeight="1"/>
    <row r="10319" ht="15.75" customHeight="1"/>
    <row r="10320" ht="15.75" customHeight="1"/>
    <row r="10321" ht="15.75" customHeight="1"/>
    <row r="10322" ht="15.75" customHeight="1"/>
    <row r="10323" ht="15.75" customHeight="1"/>
    <row r="10324" ht="15.75" customHeight="1"/>
    <row r="10325" ht="15.75" customHeight="1"/>
    <row r="10326" ht="15.75" customHeight="1"/>
    <row r="10327" ht="15.75" customHeight="1"/>
    <row r="10328" ht="15.75" customHeight="1"/>
    <row r="10329" ht="15.75" customHeight="1"/>
    <row r="10330" ht="15.75" customHeight="1"/>
    <row r="10331" ht="15.75" customHeight="1"/>
    <row r="10332" ht="15.75" customHeight="1"/>
    <row r="10333" ht="15.75" customHeight="1"/>
    <row r="10334" ht="15.75" customHeight="1"/>
    <row r="10335" ht="15.75" customHeight="1"/>
    <row r="10336" ht="15.75" customHeight="1"/>
    <row r="10337" ht="15.75" customHeight="1"/>
    <row r="10338" ht="15.75" customHeight="1"/>
    <row r="10339" ht="15.75" customHeight="1"/>
    <row r="10340" ht="15.75" customHeight="1"/>
    <row r="10341" ht="15.75" customHeight="1"/>
    <row r="10342" ht="15.75" customHeight="1"/>
    <row r="10343" ht="15.75" customHeight="1"/>
    <row r="10344" ht="15.75" customHeight="1"/>
    <row r="10345" ht="15.75" customHeight="1"/>
    <row r="10346" ht="15.75" customHeight="1"/>
    <row r="10347" ht="15.75" customHeight="1"/>
    <row r="10348" ht="15.75" customHeight="1"/>
    <row r="10349" ht="15.75" customHeight="1"/>
    <row r="10350" ht="15.75" customHeight="1"/>
    <row r="10351" ht="15.75" customHeight="1"/>
    <row r="10352" ht="15.75" customHeight="1"/>
    <row r="10353" ht="15.75" customHeight="1"/>
    <row r="10354" ht="15.75" customHeight="1"/>
    <row r="10355" ht="15.75" customHeight="1"/>
    <row r="10356" ht="15.75" customHeight="1"/>
    <row r="10357" ht="15.75" customHeight="1"/>
    <row r="10358" ht="15.75" customHeight="1"/>
    <row r="10359" ht="15.75" customHeight="1"/>
    <row r="10360" ht="15.75" customHeight="1"/>
    <row r="10361" ht="15.75" customHeight="1"/>
    <row r="10362" ht="15.75" customHeight="1"/>
    <row r="10363" ht="15.75" customHeight="1"/>
    <row r="10364" ht="15.75" customHeight="1"/>
    <row r="10365" ht="15.75" customHeight="1"/>
    <row r="10366" ht="15.75" customHeight="1"/>
    <row r="10367" ht="15.75" customHeight="1"/>
    <row r="10368" ht="15.75" customHeight="1"/>
    <row r="10369" ht="15.75" customHeight="1"/>
    <row r="10370" ht="15.75" customHeight="1"/>
    <row r="10371" ht="15.75" customHeight="1"/>
    <row r="10372" ht="15.75" customHeight="1"/>
    <row r="10373" ht="15.75" customHeight="1"/>
    <row r="10374" ht="15.75" customHeight="1"/>
    <row r="10375" ht="15.75" customHeight="1"/>
    <row r="10376" ht="15.75" customHeight="1"/>
    <row r="10377" ht="15.75" customHeight="1"/>
    <row r="10378" ht="15.75" customHeight="1"/>
    <row r="10379" ht="15.75" customHeight="1"/>
    <row r="10380" ht="15.75" customHeight="1"/>
    <row r="10381" ht="15.75" customHeight="1"/>
    <row r="10382" ht="15.75" customHeight="1"/>
    <row r="10383" ht="15.75" customHeight="1"/>
    <row r="10384" ht="15.75" customHeight="1"/>
    <row r="10385" ht="15.75" customHeight="1"/>
    <row r="10386" ht="15.75" customHeight="1"/>
    <row r="10387" ht="15.75" customHeight="1"/>
    <row r="10388" ht="15.75" customHeight="1"/>
    <row r="10389" ht="15.75" customHeight="1"/>
    <row r="10390" ht="15.75" customHeight="1"/>
    <row r="10391" ht="15.75" customHeight="1"/>
    <row r="10392" ht="15.75" customHeight="1"/>
    <row r="10393" ht="15.75" customHeight="1"/>
    <row r="10394" ht="15.75" customHeight="1"/>
    <row r="10395" ht="15.75" customHeight="1"/>
    <row r="10396" ht="15.75" customHeight="1"/>
    <row r="10397" ht="15.75" customHeight="1"/>
    <row r="10398" ht="15.75" customHeight="1"/>
    <row r="10399" ht="15.75" customHeight="1"/>
    <row r="10400" ht="15.75" customHeight="1"/>
    <row r="10401" ht="15.75" customHeight="1"/>
    <row r="10402" ht="15.75" customHeight="1"/>
    <row r="10403" ht="15.75" customHeight="1"/>
    <row r="10404" ht="15.75" customHeight="1"/>
    <row r="10405" ht="15.75" customHeight="1"/>
    <row r="10406" ht="15.75" customHeight="1"/>
    <row r="10407" ht="15.75" customHeight="1"/>
    <row r="10408" ht="15.75" customHeight="1"/>
    <row r="10409" ht="15.75" customHeight="1"/>
    <row r="10410" ht="15.75" customHeight="1"/>
    <row r="10411" ht="15.75" customHeight="1"/>
    <row r="10412" ht="15.75" customHeight="1"/>
    <row r="10413" ht="15.75" customHeight="1"/>
    <row r="10414" ht="15.75" customHeight="1"/>
    <row r="10415" ht="15.75" customHeight="1"/>
    <row r="10416" ht="15.75" customHeight="1"/>
    <row r="10417" ht="15.75" customHeight="1"/>
    <row r="10418" ht="15.75" customHeight="1"/>
    <row r="10419" ht="15.75" customHeight="1"/>
    <row r="10420" ht="15.75" customHeight="1"/>
    <row r="10421" ht="15.75" customHeight="1"/>
    <row r="10422" ht="15.75" customHeight="1"/>
    <row r="10423" ht="15.75" customHeight="1"/>
    <row r="10424" ht="15.75" customHeight="1"/>
    <row r="10425" ht="15.75" customHeight="1"/>
    <row r="10426" ht="15.75" customHeight="1"/>
    <row r="10427" ht="15.75" customHeight="1"/>
    <row r="10428" ht="15.75" customHeight="1"/>
    <row r="10429" ht="15.75" customHeight="1"/>
    <row r="10430" ht="15.75" customHeight="1"/>
    <row r="10431" ht="15.75" customHeight="1"/>
    <row r="10432" ht="15.75" customHeight="1"/>
    <row r="10433" ht="15.75" customHeight="1"/>
    <row r="10434" ht="15.75" customHeight="1"/>
    <row r="10435" ht="15.75" customHeight="1"/>
    <row r="10436" ht="15.75" customHeight="1"/>
    <row r="10437" ht="15.75" customHeight="1"/>
    <row r="10438" ht="15.75" customHeight="1"/>
    <row r="10439" ht="15.75" customHeight="1"/>
    <row r="10440" ht="15.75" customHeight="1"/>
    <row r="10441" ht="15.75" customHeight="1"/>
    <row r="10442" ht="15.75" customHeight="1"/>
    <row r="10443" ht="15.75" customHeight="1"/>
    <row r="10444" ht="15.75" customHeight="1"/>
    <row r="10445" ht="15.75" customHeight="1"/>
    <row r="10446" ht="15.75" customHeight="1"/>
    <row r="10447" ht="15.75" customHeight="1"/>
    <row r="10448" ht="15.75" customHeight="1"/>
    <row r="10449" ht="15.75" customHeight="1"/>
    <row r="10450" ht="15.75" customHeight="1"/>
    <row r="10451" ht="15.75" customHeight="1"/>
    <row r="10452" ht="15.75" customHeight="1"/>
    <row r="10453" ht="15.75" customHeight="1"/>
    <row r="10454" ht="15.75" customHeight="1"/>
    <row r="10455" ht="15.75" customHeight="1"/>
    <row r="10456" ht="15.75" customHeight="1"/>
    <row r="10457" ht="15.75" customHeight="1"/>
    <row r="10458" ht="15.75" customHeight="1"/>
    <row r="10459" ht="15.75" customHeight="1"/>
    <row r="10460" ht="15.75" customHeight="1"/>
    <row r="10461" ht="15.75" customHeight="1"/>
    <row r="10462" ht="15.75" customHeight="1"/>
    <row r="10463" ht="15.75" customHeight="1"/>
    <row r="10464" ht="15.75" customHeight="1"/>
    <row r="10465" ht="15.75" customHeight="1"/>
    <row r="10466" ht="15.75" customHeight="1"/>
    <row r="10467" ht="15.75" customHeight="1"/>
    <row r="10468" ht="15.75" customHeight="1"/>
    <row r="10469" ht="15.75" customHeight="1"/>
    <row r="10470" ht="15.75" customHeight="1"/>
    <row r="10471" ht="15.75" customHeight="1"/>
    <row r="10472" ht="15.75" customHeight="1"/>
    <row r="10473" ht="15.75" customHeight="1"/>
    <row r="10474" ht="15.75" customHeight="1"/>
    <row r="10475" ht="15.75" customHeight="1"/>
    <row r="10476" ht="15.75" customHeight="1"/>
    <row r="10477" ht="15.75" customHeight="1"/>
    <row r="10478" ht="15.75" customHeight="1"/>
    <row r="10479" ht="15.75" customHeight="1"/>
    <row r="10480" ht="15.75" customHeight="1"/>
    <row r="10481" ht="15.75" customHeight="1"/>
    <row r="10482" ht="15.75" customHeight="1"/>
    <row r="10483" ht="15.75" customHeight="1"/>
    <row r="10484" ht="15.75" customHeight="1"/>
    <row r="10485" ht="15.75" customHeight="1"/>
    <row r="10486" ht="15.75" customHeight="1"/>
    <row r="10487" ht="15.75" customHeight="1"/>
    <row r="10488" ht="15.75" customHeight="1"/>
    <row r="10489" ht="15.75" customHeight="1"/>
    <row r="10490" ht="15.75" customHeight="1"/>
    <row r="10491" ht="15.75" customHeight="1"/>
    <row r="10492" ht="15.75" customHeight="1"/>
    <row r="10493" ht="15.75" customHeight="1"/>
    <row r="10494" ht="15.75" customHeight="1"/>
    <row r="10495" ht="15.75" customHeight="1"/>
    <row r="10496" ht="15.75" customHeight="1"/>
    <row r="10497" ht="15.75" customHeight="1"/>
    <row r="10498" ht="15.75" customHeight="1"/>
    <row r="10499" ht="15.75" customHeight="1"/>
    <row r="10500" ht="15.75" customHeight="1"/>
    <row r="10501" ht="15.75" customHeight="1"/>
    <row r="10502" ht="15.75" customHeight="1"/>
    <row r="10503" ht="15.75" customHeight="1"/>
    <row r="10504" ht="15.75" customHeight="1"/>
    <row r="10505" ht="15.75" customHeight="1"/>
    <row r="10506" ht="15.75" customHeight="1"/>
    <row r="10507" ht="15.75" customHeight="1"/>
    <row r="10508" ht="15.75" customHeight="1"/>
    <row r="10509" ht="15.75" customHeight="1"/>
    <row r="10510" ht="15.75" customHeight="1"/>
    <row r="10511" ht="15.75" customHeight="1"/>
    <row r="10512" ht="15.75" customHeight="1"/>
    <row r="10513" ht="15.75" customHeight="1"/>
    <row r="10514" ht="15.75" customHeight="1"/>
    <row r="10515" ht="15.75" customHeight="1"/>
    <row r="10516" ht="15.75" customHeight="1"/>
    <row r="10517" ht="15.75" customHeight="1"/>
    <row r="10518" ht="15.75" customHeight="1"/>
    <row r="10519" ht="15.75" customHeight="1"/>
    <row r="10520" ht="15.75" customHeight="1"/>
    <row r="10521" ht="15.75" customHeight="1"/>
    <row r="10522" ht="15.75" customHeight="1"/>
    <row r="10523" ht="15.75" customHeight="1"/>
    <row r="10524" ht="15.75" customHeight="1"/>
    <row r="10525" ht="15.75" customHeight="1"/>
    <row r="10526" ht="15.75" customHeight="1"/>
    <row r="10527" ht="15.75" customHeight="1"/>
    <row r="10528" ht="15.75" customHeight="1"/>
    <row r="10529" ht="15.75" customHeight="1"/>
    <row r="10530" ht="15.75" customHeight="1"/>
    <row r="10531" ht="15.75" customHeight="1"/>
    <row r="10532" ht="15.75" customHeight="1"/>
    <row r="10533" ht="15.75" customHeight="1"/>
    <row r="10534" ht="15.75" customHeight="1"/>
    <row r="10535" ht="15.75" customHeight="1"/>
    <row r="10536" ht="15.75" customHeight="1"/>
    <row r="10537" ht="15.75" customHeight="1"/>
    <row r="10538" ht="15.75" customHeight="1"/>
    <row r="10539" ht="15.75" customHeight="1"/>
    <row r="10540" ht="15.75" customHeight="1"/>
    <row r="10541" ht="15.75" customHeight="1"/>
    <row r="10542" ht="15.75" customHeight="1"/>
    <row r="10543" ht="15.75" customHeight="1"/>
    <row r="10544" ht="15.75" customHeight="1"/>
    <row r="10545" ht="15.75" customHeight="1"/>
    <row r="10546" ht="15.75" customHeight="1"/>
    <row r="10547" ht="15.75" customHeight="1"/>
    <row r="10548" ht="15.75" customHeight="1"/>
    <row r="10549" ht="15.75" customHeight="1"/>
    <row r="10550" ht="15.75" customHeight="1"/>
    <row r="10551" ht="15.75" customHeight="1"/>
    <row r="10552" ht="15.75" customHeight="1"/>
    <row r="10553" ht="15.75" customHeight="1"/>
    <row r="10554" ht="15.75" customHeight="1"/>
    <row r="10555" ht="15.75" customHeight="1"/>
    <row r="10556" ht="15.75" customHeight="1"/>
    <row r="10557" ht="15.75" customHeight="1"/>
    <row r="10558" ht="15.75" customHeight="1"/>
    <row r="10559" ht="15.75" customHeight="1"/>
    <row r="10560" ht="15.75" customHeight="1"/>
    <row r="10561" ht="15.75" customHeight="1"/>
    <row r="10562" ht="15.75" customHeight="1"/>
    <row r="10563" ht="15.75" customHeight="1"/>
    <row r="10564" ht="15.75" customHeight="1"/>
    <row r="10565" ht="15.75" customHeight="1"/>
    <row r="10566" ht="15.75" customHeight="1"/>
    <row r="10567" ht="15.75" customHeight="1"/>
    <row r="10568" ht="15.75" customHeight="1"/>
    <row r="10569" ht="15.75" customHeight="1"/>
    <row r="10570" ht="15.75" customHeight="1"/>
    <row r="10571" ht="15.75" customHeight="1"/>
    <row r="10572" ht="15.75" customHeight="1"/>
    <row r="10573" ht="15.75" customHeight="1"/>
    <row r="10574" ht="15.75" customHeight="1"/>
    <row r="10575" ht="15.75" customHeight="1"/>
    <row r="10576" ht="15.75" customHeight="1"/>
    <row r="10577" ht="15.75" customHeight="1"/>
    <row r="10578" ht="15.75" customHeight="1"/>
    <row r="10579" ht="15.75" customHeight="1"/>
    <row r="10580" ht="15.75" customHeight="1"/>
    <row r="10581" ht="15.75" customHeight="1"/>
    <row r="10582" ht="15.75" customHeight="1"/>
    <row r="10583" ht="15.75" customHeight="1"/>
    <row r="10584" ht="15.75" customHeight="1"/>
    <row r="10585" ht="15.75" customHeight="1"/>
    <row r="10586" ht="15.75" customHeight="1"/>
    <row r="10587" ht="15.75" customHeight="1"/>
    <row r="10588" ht="15.75" customHeight="1"/>
    <row r="10589" ht="15.75" customHeight="1"/>
    <row r="10590" ht="15.75" customHeight="1"/>
    <row r="10591" ht="15.75" customHeight="1"/>
    <row r="10592" ht="15.75" customHeight="1"/>
    <row r="10593" ht="15.75" customHeight="1"/>
    <row r="10594" ht="15.75" customHeight="1"/>
    <row r="10595" ht="15.75" customHeight="1"/>
    <row r="10596" ht="15.75" customHeight="1"/>
    <row r="10597" ht="15.75" customHeight="1"/>
    <row r="10598" ht="15.75" customHeight="1"/>
    <row r="10599" ht="15.75" customHeight="1"/>
    <row r="10600" ht="15.75" customHeight="1"/>
    <row r="10601" ht="15.75" customHeight="1"/>
    <row r="10602" ht="15.75" customHeight="1"/>
    <row r="10603" ht="15.75" customHeight="1"/>
    <row r="10604" ht="15.75" customHeight="1"/>
    <row r="10605" ht="15.75" customHeight="1"/>
    <row r="10606" ht="15.75" customHeight="1"/>
    <row r="10607" ht="15.75" customHeight="1"/>
    <row r="10608" ht="15.75" customHeight="1"/>
    <row r="10609" ht="15.75" customHeight="1"/>
    <row r="10610" ht="15.75" customHeight="1"/>
    <row r="10611" ht="15.75" customHeight="1"/>
    <row r="10612" ht="15.75" customHeight="1"/>
    <row r="10613" ht="15.75" customHeight="1"/>
    <row r="10614" ht="15.75" customHeight="1"/>
    <row r="10615" ht="15.75" customHeight="1"/>
    <row r="10616" ht="15.75" customHeight="1"/>
    <row r="10617" ht="15.75" customHeight="1"/>
    <row r="10618" ht="15.75" customHeight="1"/>
    <row r="10619" ht="15.75" customHeight="1"/>
    <row r="10620" ht="15.75" customHeight="1"/>
    <row r="10621" ht="15.75" customHeight="1"/>
    <row r="10622" ht="15.75" customHeight="1"/>
    <row r="10623" ht="15.75" customHeight="1"/>
    <row r="10624" ht="15.75" customHeight="1"/>
    <row r="10625" ht="15.75" customHeight="1"/>
    <row r="10626" ht="15.75" customHeight="1"/>
    <row r="10627" ht="15.75" customHeight="1"/>
    <row r="10628" ht="15.75" customHeight="1"/>
    <row r="10629" ht="15.75" customHeight="1"/>
    <row r="10630" ht="15.75" customHeight="1"/>
    <row r="10631" ht="15.75" customHeight="1"/>
    <row r="10632" ht="15.75" customHeight="1"/>
    <row r="10633" ht="15.75" customHeight="1"/>
    <row r="10634" ht="15.75" customHeight="1"/>
    <row r="10635" ht="15.75" customHeight="1"/>
    <row r="10636" ht="15.75" customHeight="1"/>
    <row r="10637" ht="15.75" customHeight="1"/>
    <row r="10638" ht="15.75" customHeight="1"/>
    <row r="10639" ht="15.75" customHeight="1"/>
    <row r="10640" ht="15.75" customHeight="1"/>
    <row r="10641" ht="15.75" customHeight="1"/>
    <row r="10642" ht="15.75" customHeight="1"/>
    <row r="10643" ht="15.75" customHeight="1"/>
    <row r="10644" ht="15.75" customHeight="1"/>
    <row r="10645" ht="15.75" customHeight="1"/>
    <row r="10646" ht="15.75" customHeight="1"/>
    <row r="10647" ht="15.75" customHeight="1"/>
    <row r="10648" ht="15.75" customHeight="1"/>
    <row r="10649" ht="15.75" customHeight="1"/>
    <row r="10650" ht="15.75" customHeight="1"/>
    <row r="10651" ht="15.75" customHeight="1"/>
    <row r="10652" ht="15.75" customHeight="1"/>
    <row r="10653" ht="15.75" customHeight="1"/>
    <row r="10654" ht="15.75" customHeight="1"/>
    <row r="10655" ht="15.75" customHeight="1"/>
    <row r="10656" ht="15.75" customHeight="1"/>
    <row r="10657" ht="15.75" customHeight="1"/>
    <row r="10658" ht="15.75" customHeight="1"/>
    <row r="10659" ht="15.75" customHeight="1"/>
    <row r="10660" ht="15.75" customHeight="1"/>
    <row r="10661" ht="15.75" customHeight="1"/>
    <row r="10662" ht="15.75" customHeight="1"/>
    <row r="10663" ht="15.75" customHeight="1"/>
    <row r="10664" ht="15.75" customHeight="1"/>
    <row r="10665" ht="15.75" customHeight="1"/>
    <row r="10666" ht="15.75" customHeight="1"/>
    <row r="10667" ht="15.75" customHeight="1"/>
    <row r="10668" ht="15.75" customHeight="1"/>
    <row r="10669" ht="15.75" customHeight="1"/>
    <row r="10670" ht="15.75" customHeight="1"/>
    <row r="10671" ht="15.75" customHeight="1"/>
    <row r="10672" ht="15.75" customHeight="1"/>
    <row r="10673" ht="15.75" customHeight="1"/>
    <row r="10674" ht="15.75" customHeight="1"/>
    <row r="10675" ht="15.75" customHeight="1"/>
    <row r="10676" ht="15.75" customHeight="1"/>
    <row r="10677" ht="15.75" customHeight="1"/>
    <row r="10678" ht="15.75" customHeight="1"/>
    <row r="10679" ht="15.75" customHeight="1"/>
    <row r="10680" ht="15.75" customHeight="1"/>
    <row r="10681" ht="15.75" customHeight="1"/>
    <row r="10682" ht="15.75" customHeight="1"/>
    <row r="10683" ht="15.75" customHeight="1"/>
    <row r="10684" ht="15.75" customHeight="1"/>
    <row r="10685" ht="15.75" customHeight="1"/>
    <row r="10686" ht="15.75" customHeight="1"/>
    <row r="10687" ht="15.75" customHeight="1"/>
    <row r="10688" ht="15.75" customHeight="1"/>
    <row r="10689" ht="15.75" customHeight="1"/>
    <row r="10690" ht="15.75" customHeight="1"/>
    <row r="10691" ht="15.75" customHeight="1"/>
    <row r="10692" ht="15.75" customHeight="1"/>
    <row r="10693" ht="15.75" customHeight="1"/>
    <row r="10694" ht="15.75" customHeight="1"/>
    <row r="10695" ht="15.75" customHeight="1"/>
    <row r="10696" ht="15.75" customHeight="1"/>
    <row r="10697" ht="15.75" customHeight="1"/>
    <row r="10698" ht="15.75" customHeight="1"/>
    <row r="10699" ht="15.75" customHeight="1"/>
    <row r="10700" ht="15.75" customHeight="1"/>
    <row r="10701" ht="15.75" customHeight="1"/>
    <row r="10702" ht="15.75" customHeight="1"/>
    <row r="10703" ht="15.75" customHeight="1"/>
    <row r="10704" ht="15.75" customHeight="1"/>
    <row r="10705" ht="15.75" customHeight="1"/>
    <row r="10706" ht="15.75" customHeight="1"/>
    <row r="10707" ht="15.75" customHeight="1"/>
    <row r="10708" ht="15.75" customHeight="1"/>
    <row r="10709" ht="15.75" customHeight="1"/>
    <row r="10710" ht="15.75" customHeight="1"/>
    <row r="10711" ht="15.75" customHeight="1"/>
    <row r="10712" ht="15.75" customHeight="1"/>
    <row r="10713" ht="15.75" customHeight="1"/>
    <row r="10714" ht="15.75" customHeight="1"/>
    <row r="10715" ht="15.75" customHeight="1"/>
    <row r="10716" ht="15.75" customHeight="1"/>
    <row r="10717" ht="15.75" customHeight="1"/>
    <row r="10718" ht="15.75" customHeight="1"/>
    <row r="10719" ht="15.75" customHeight="1"/>
    <row r="10720" ht="15.75" customHeight="1"/>
    <row r="10721" ht="15.75" customHeight="1"/>
    <row r="10722" ht="15.75" customHeight="1"/>
    <row r="10723" ht="15.75" customHeight="1"/>
    <row r="10724" ht="15.75" customHeight="1"/>
    <row r="10725" ht="15.75" customHeight="1"/>
    <row r="10726" ht="15.75" customHeight="1"/>
    <row r="10727" ht="15.75" customHeight="1"/>
    <row r="10728" ht="15.75" customHeight="1"/>
    <row r="10729" ht="15.75" customHeight="1"/>
    <row r="10730" ht="15.75" customHeight="1"/>
    <row r="10731" ht="15.75" customHeight="1"/>
    <row r="10732" ht="15.75" customHeight="1"/>
    <row r="10733" ht="15.75" customHeight="1"/>
    <row r="10734" ht="15.75" customHeight="1"/>
    <row r="10735" ht="15.75" customHeight="1"/>
    <row r="10736" ht="15.75" customHeight="1"/>
    <row r="10737" ht="15.75" customHeight="1"/>
    <row r="10738" ht="15.75" customHeight="1"/>
    <row r="10739" ht="15.75" customHeight="1"/>
    <row r="10740" ht="15.75" customHeight="1"/>
    <row r="10741" ht="15.75" customHeight="1"/>
    <row r="10742" ht="15.75" customHeight="1"/>
    <row r="10743" ht="15.75" customHeight="1"/>
    <row r="10744" ht="15.75" customHeight="1"/>
    <row r="10745" ht="15.75" customHeight="1"/>
    <row r="10746" ht="15.75" customHeight="1"/>
    <row r="10747" ht="15.75" customHeight="1"/>
    <row r="10748" ht="15.75" customHeight="1"/>
    <row r="10749" ht="15.75" customHeight="1"/>
    <row r="10750" ht="15.75" customHeight="1"/>
    <row r="10751" ht="15.75" customHeight="1"/>
    <row r="10752" ht="15.75" customHeight="1"/>
    <row r="10753" ht="15.75" customHeight="1"/>
    <row r="10754" ht="15.75" customHeight="1"/>
    <row r="10755" ht="15.75" customHeight="1"/>
    <row r="10756" ht="15.75" customHeight="1"/>
    <row r="10757" ht="15.75" customHeight="1"/>
    <row r="10758" ht="15.75" customHeight="1"/>
    <row r="10759" ht="15.75" customHeight="1"/>
    <row r="10760" ht="15.75" customHeight="1"/>
    <row r="10761" ht="15.75" customHeight="1"/>
    <row r="10762" ht="15.75" customHeight="1"/>
    <row r="10763" ht="15.75" customHeight="1"/>
    <row r="10764" ht="15.75" customHeight="1"/>
    <row r="10765" ht="15.75" customHeight="1"/>
    <row r="10766" ht="15.75" customHeight="1"/>
    <row r="10767" ht="15.75" customHeight="1"/>
    <row r="10768" ht="15.75" customHeight="1"/>
    <row r="10769" ht="15.75" customHeight="1"/>
    <row r="10770" ht="15.75" customHeight="1"/>
    <row r="10771" ht="15.75" customHeight="1"/>
    <row r="10772" ht="15.75" customHeight="1"/>
    <row r="10773" ht="15.75" customHeight="1"/>
    <row r="10774" ht="15.75" customHeight="1"/>
    <row r="10775" ht="15.75" customHeight="1"/>
    <row r="10776" ht="15.75" customHeight="1"/>
    <row r="10777" ht="15.75" customHeight="1"/>
    <row r="10778" ht="15.75" customHeight="1"/>
    <row r="10779" ht="15.75" customHeight="1"/>
    <row r="10780" ht="15.75" customHeight="1"/>
    <row r="10781" ht="15.75" customHeight="1"/>
    <row r="10782" ht="15.75" customHeight="1"/>
    <row r="10783" ht="15.75" customHeight="1"/>
    <row r="10784" ht="15.75" customHeight="1"/>
    <row r="10785" ht="15.75" customHeight="1"/>
    <row r="10786" ht="15.75" customHeight="1"/>
    <row r="10787" ht="15.75" customHeight="1"/>
    <row r="10788" ht="15.75" customHeight="1"/>
    <row r="10789" ht="15.75" customHeight="1"/>
    <row r="10790" ht="15.75" customHeight="1"/>
    <row r="10791" ht="15.75" customHeight="1"/>
    <row r="10792" ht="15.75" customHeight="1"/>
    <row r="10793" ht="15.75" customHeight="1"/>
    <row r="10794" ht="15.75" customHeight="1"/>
    <row r="10795" ht="15.75" customHeight="1"/>
    <row r="10796" ht="15.75" customHeight="1"/>
    <row r="10797" ht="15.75" customHeight="1"/>
    <row r="10798" ht="15.75" customHeight="1"/>
    <row r="10799" ht="15.75" customHeight="1"/>
    <row r="10800" ht="15.75" customHeight="1"/>
    <row r="10801" ht="15.75" customHeight="1"/>
    <row r="10802" ht="15.75" customHeight="1"/>
    <row r="10803" ht="15.75" customHeight="1"/>
    <row r="10804" ht="15.75" customHeight="1"/>
    <row r="10805" ht="15.75" customHeight="1"/>
    <row r="10806" ht="15.75" customHeight="1"/>
    <row r="10807" ht="15.75" customHeight="1"/>
    <row r="10808" ht="15.75" customHeight="1"/>
    <row r="10809" ht="15.75" customHeight="1"/>
    <row r="10810" ht="15.75" customHeight="1"/>
    <row r="10811" ht="15.75" customHeight="1"/>
    <row r="10812" ht="15.75" customHeight="1"/>
    <row r="10813" ht="15.75" customHeight="1"/>
    <row r="10814" ht="15.75" customHeight="1"/>
    <row r="10815" ht="15.75" customHeight="1"/>
    <row r="10816" ht="15.75" customHeight="1"/>
    <row r="10817" ht="15.75" customHeight="1"/>
    <row r="10818" ht="15.75" customHeight="1"/>
    <row r="10819" ht="15.75" customHeight="1"/>
    <row r="10820" ht="15.75" customHeight="1"/>
    <row r="10821" ht="15.75" customHeight="1"/>
    <row r="10822" ht="15.75" customHeight="1"/>
    <row r="10823" ht="15.75" customHeight="1"/>
    <row r="10824" ht="15.75" customHeight="1"/>
    <row r="10825" ht="15.75" customHeight="1"/>
    <row r="10826" ht="15.75" customHeight="1"/>
    <row r="10827" ht="15.75" customHeight="1"/>
    <row r="10828" ht="15.75" customHeight="1"/>
    <row r="10829" ht="15.75" customHeight="1"/>
    <row r="10830" ht="15.75" customHeight="1"/>
    <row r="10831" ht="15.75" customHeight="1"/>
    <row r="10832" ht="15.75" customHeight="1"/>
    <row r="10833" ht="15.75" customHeight="1"/>
    <row r="10834" ht="15.75" customHeight="1"/>
    <row r="10835" ht="15.75" customHeight="1"/>
    <row r="10836" ht="15.75" customHeight="1"/>
    <row r="10837" ht="15.75" customHeight="1"/>
    <row r="10838" ht="15.75" customHeight="1"/>
    <row r="10839" ht="15.75" customHeight="1"/>
    <row r="10840" ht="15.75" customHeight="1"/>
    <row r="10841" ht="15.75" customHeight="1"/>
    <row r="10842" ht="15.75" customHeight="1"/>
    <row r="10843" ht="15.75" customHeight="1"/>
    <row r="10844" ht="15.75" customHeight="1"/>
    <row r="10845" ht="15.75" customHeight="1"/>
    <row r="10846" ht="15.75" customHeight="1"/>
    <row r="10847" ht="15.75" customHeight="1"/>
    <row r="10848" ht="15.75" customHeight="1"/>
    <row r="10849" ht="15.75" customHeight="1"/>
    <row r="10850" ht="15.75" customHeight="1"/>
    <row r="10851" ht="15.75" customHeight="1"/>
    <row r="10852" ht="15.75" customHeight="1"/>
    <row r="10853" ht="15.75" customHeight="1"/>
    <row r="10854" ht="15.75" customHeight="1"/>
    <row r="10855" ht="15.75" customHeight="1"/>
    <row r="10856" ht="15.75" customHeight="1"/>
    <row r="10857" ht="15.75" customHeight="1"/>
    <row r="10858" ht="15.75" customHeight="1"/>
    <row r="10859" ht="15.75" customHeight="1"/>
    <row r="10860" ht="15.75" customHeight="1"/>
    <row r="10861" ht="15.75" customHeight="1"/>
    <row r="10862" ht="15.75" customHeight="1"/>
    <row r="10863" ht="15.75" customHeight="1"/>
    <row r="10864" ht="15.75" customHeight="1"/>
    <row r="10865" ht="15.75" customHeight="1"/>
    <row r="10866" ht="15.75" customHeight="1"/>
    <row r="10867" ht="15.75" customHeight="1"/>
    <row r="10868" ht="15.75" customHeight="1"/>
    <row r="10869" ht="15.75" customHeight="1"/>
    <row r="10870" ht="15.75" customHeight="1"/>
    <row r="10871" ht="15.75" customHeight="1"/>
    <row r="10872" ht="15.75" customHeight="1"/>
    <row r="10873" ht="15.75" customHeight="1"/>
    <row r="10874" ht="15.75" customHeight="1"/>
    <row r="10875" ht="15.75" customHeight="1"/>
    <row r="10876" ht="15.75" customHeight="1"/>
    <row r="10877" ht="15.75" customHeight="1"/>
    <row r="10878" ht="15.75" customHeight="1"/>
    <row r="10879" ht="15.75" customHeight="1"/>
    <row r="10880" ht="15.75" customHeight="1"/>
    <row r="10881" ht="15.75" customHeight="1"/>
    <row r="10882" ht="15.75" customHeight="1"/>
    <row r="10883" ht="15.75" customHeight="1"/>
    <row r="10884" ht="15.75" customHeight="1"/>
    <row r="10885" ht="15.75" customHeight="1"/>
    <row r="10886" ht="15.75" customHeight="1"/>
    <row r="10887" ht="15.75" customHeight="1"/>
    <row r="10888" ht="15.75" customHeight="1"/>
    <row r="10889" ht="15.75" customHeight="1"/>
    <row r="10890" ht="15.75" customHeight="1"/>
    <row r="10891" ht="15.75" customHeight="1"/>
    <row r="10892" ht="15.75" customHeight="1"/>
    <row r="10893" ht="15.75" customHeight="1"/>
    <row r="10894" ht="15.75" customHeight="1"/>
    <row r="10895" ht="15.75" customHeight="1"/>
    <row r="10896" ht="15.75" customHeight="1"/>
    <row r="10897" ht="15.75" customHeight="1"/>
    <row r="10898" ht="15.75" customHeight="1"/>
    <row r="10899" ht="15.75" customHeight="1"/>
    <row r="10900" ht="15.75" customHeight="1"/>
    <row r="10901" ht="15.75" customHeight="1"/>
    <row r="10902" ht="15.75" customHeight="1"/>
    <row r="10903" ht="15.75" customHeight="1"/>
    <row r="10904" ht="15.75" customHeight="1"/>
    <row r="10905" ht="15.75" customHeight="1"/>
    <row r="10906" ht="15.75" customHeight="1"/>
    <row r="10907" ht="15.75" customHeight="1"/>
    <row r="10908" ht="15.75" customHeight="1"/>
    <row r="10909" ht="15.75" customHeight="1"/>
    <row r="10910" ht="15.75" customHeight="1"/>
    <row r="10911" ht="15.75" customHeight="1"/>
    <row r="10912" ht="15.75" customHeight="1"/>
    <row r="10913" ht="15.75" customHeight="1"/>
    <row r="10914" ht="15.75" customHeight="1"/>
    <row r="10915" ht="15.75" customHeight="1"/>
    <row r="10916" ht="15.75" customHeight="1"/>
    <row r="10917" ht="15.75" customHeight="1"/>
    <row r="10918" ht="15.75" customHeight="1"/>
    <row r="10919" ht="15.75" customHeight="1"/>
    <row r="10920" ht="15.75" customHeight="1"/>
    <row r="10921" ht="15.75" customHeight="1"/>
    <row r="10922" ht="15.75" customHeight="1"/>
    <row r="10923" ht="15.75" customHeight="1"/>
    <row r="10924" ht="15.75" customHeight="1"/>
    <row r="10925" ht="15.75" customHeight="1"/>
    <row r="10926" ht="15.75" customHeight="1"/>
    <row r="10927" ht="15.75" customHeight="1"/>
    <row r="10928" ht="15.75" customHeight="1"/>
    <row r="10929" ht="15.75" customHeight="1"/>
    <row r="10930" ht="15.75" customHeight="1"/>
    <row r="10931" ht="15.75" customHeight="1"/>
    <row r="10932" ht="15.75" customHeight="1"/>
    <row r="10933" ht="15.75" customHeight="1"/>
    <row r="10934" ht="15.75" customHeight="1"/>
    <row r="10935" ht="15.75" customHeight="1"/>
    <row r="10936" ht="15.75" customHeight="1"/>
    <row r="10937" ht="15.75" customHeight="1"/>
    <row r="10938" ht="15.75" customHeight="1"/>
    <row r="10939" ht="15.75" customHeight="1"/>
    <row r="10940" ht="15.75" customHeight="1"/>
    <row r="10941" ht="15.75" customHeight="1"/>
    <row r="10942" ht="15.75" customHeight="1"/>
    <row r="10943" ht="15.75" customHeight="1"/>
    <row r="10944" ht="15.75" customHeight="1"/>
    <row r="10945" ht="15.75" customHeight="1"/>
    <row r="10946" ht="15.75" customHeight="1"/>
    <row r="10947" ht="15.75" customHeight="1"/>
    <row r="10948" ht="15.75" customHeight="1"/>
    <row r="10949" ht="15.75" customHeight="1"/>
    <row r="10950" ht="15.75" customHeight="1"/>
    <row r="10951" ht="15.75" customHeight="1"/>
    <row r="10952" ht="15.75" customHeight="1"/>
    <row r="10953" ht="15.75" customHeight="1"/>
    <row r="10954" ht="15.75" customHeight="1"/>
    <row r="10955" ht="15.75" customHeight="1"/>
    <row r="10956" ht="15.75" customHeight="1"/>
    <row r="10957" ht="15.75" customHeight="1"/>
    <row r="10958" ht="15.75" customHeight="1"/>
    <row r="10959" ht="15.75" customHeight="1"/>
    <row r="10960" ht="15.75" customHeight="1"/>
    <row r="10961" ht="15.75" customHeight="1"/>
    <row r="10962" ht="15.75" customHeight="1"/>
    <row r="10963" ht="15.75" customHeight="1"/>
    <row r="10964" ht="15.75" customHeight="1"/>
    <row r="10965" ht="15.75" customHeight="1"/>
    <row r="10966" ht="15.75" customHeight="1"/>
    <row r="10967" ht="15.75" customHeight="1"/>
    <row r="10968" ht="15.75" customHeight="1"/>
    <row r="10969" ht="15.75" customHeight="1"/>
    <row r="10970" ht="15.75" customHeight="1"/>
    <row r="10971" ht="15.75" customHeight="1"/>
    <row r="10972" ht="15.75" customHeight="1"/>
    <row r="10973" ht="15.75" customHeight="1"/>
    <row r="10974" ht="15.75" customHeight="1"/>
    <row r="10975" ht="15.75" customHeight="1"/>
    <row r="10976" ht="15.75" customHeight="1"/>
    <row r="10977" ht="15.75" customHeight="1"/>
    <row r="10978" ht="15.75" customHeight="1"/>
    <row r="10979" ht="15.75" customHeight="1"/>
    <row r="10980" ht="15.75" customHeight="1"/>
    <row r="10981" ht="15.75" customHeight="1"/>
    <row r="10982" ht="15.75" customHeight="1"/>
    <row r="10983" ht="15.75" customHeight="1"/>
    <row r="10984" ht="15.75" customHeight="1"/>
    <row r="10985" ht="15.75" customHeight="1"/>
    <row r="10986" ht="15.75" customHeight="1"/>
    <row r="10987" ht="15.75" customHeight="1"/>
    <row r="10988" ht="15.75" customHeight="1"/>
    <row r="10989" ht="15.75" customHeight="1"/>
    <row r="10990" ht="15.75" customHeight="1"/>
    <row r="10991" ht="15.75" customHeight="1"/>
    <row r="10992" ht="15.75" customHeight="1"/>
    <row r="10993" ht="15.75" customHeight="1"/>
    <row r="10994" ht="15.75" customHeight="1"/>
    <row r="10995" ht="15.75" customHeight="1"/>
    <row r="10996" ht="15.75" customHeight="1"/>
    <row r="10997" ht="15.75" customHeight="1"/>
    <row r="10998" ht="15.75" customHeight="1"/>
    <row r="10999" ht="15.75" customHeight="1"/>
    <row r="11000" ht="15.75" customHeight="1"/>
    <row r="11001" ht="15.75" customHeight="1"/>
    <row r="11002" ht="15.75" customHeight="1"/>
    <row r="11003" ht="15.75" customHeight="1"/>
    <row r="11004" ht="15.75" customHeight="1"/>
    <row r="11005" ht="15.75" customHeight="1"/>
    <row r="11006" ht="15.75" customHeight="1"/>
    <row r="11007" ht="15.75" customHeight="1"/>
    <row r="11008" ht="15.75" customHeight="1"/>
    <row r="11009" ht="15.75" customHeight="1"/>
  </sheetData>
  <mergeCells count="2">
    <mergeCell ref="A1:J1"/>
    <mergeCell ref="A3:J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18" workbookViewId="0">
      <selection activeCell="D31" sqref="D31"/>
    </sheetView>
  </sheetViews>
  <sheetFormatPr defaultColWidth="14.44140625" defaultRowHeight="15" customHeight="1"/>
  <cols>
    <col min="1" max="1" width="43" customWidth="1"/>
    <col min="2" max="2" width="21.109375" customWidth="1"/>
    <col min="3" max="3" width="13.88671875" customWidth="1"/>
    <col min="4" max="4" width="14.88671875" customWidth="1"/>
    <col min="5" max="5" width="19.109375" customWidth="1"/>
    <col min="6" max="6" width="17.6640625" customWidth="1"/>
    <col min="7" max="7" width="8" customWidth="1"/>
    <col min="8" max="8" width="9.44140625" customWidth="1"/>
    <col min="9" max="26" width="8" customWidth="1"/>
  </cols>
  <sheetData>
    <row r="1" spans="1:13" ht="18.75" customHeight="1">
      <c r="A1" s="300" t="s">
        <v>44</v>
      </c>
      <c r="B1" s="301"/>
      <c r="C1" s="301"/>
      <c r="D1" s="301"/>
      <c r="E1" s="301"/>
      <c r="F1" s="301"/>
      <c r="G1" s="301"/>
      <c r="H1" s="301"/>
      <c r="I1" s="14"/>
      <c r="J1" s="14"/>
    </row>
    <row r="2" spans="1:13" ht="14.4">
      <c r="A2" s="303" t="s">
        <v>45</v>
      </c>
      <c r="B2" s="301"/>
      <c r="C2" s="301"/>
      <c r="D2" s="301"/>
      <c r="E2" s="301"/>
      <c r="F2" s="301"/>
      <c r="G2" s="301"/>
      <c r="H2" s="301"/>
    </row>
    <row r="4" spans="1:13" ht="15.75" customHeight="1">
      <c r="A4" s="15" t="s">
        <v>46</v>
      </c>
      <c r="B4" s="15" t="s">
        <v>47</v>
      </c>
      <c r="C4" s="15" t="s">
        <v>48</v>
      </c>
      <c r="D4" s="15" t="s">
        <v>49</v>
      </c>
      <c r="E4" s="15" t="s">
        <v>50</v>
      </c>
      <c r="F4" s="15" t="s">
        <v>51</v>
      </c>
    </row>
    <row r="5" spans="1:13" ht="15.75" customHeight="1">
      <c r="A5" s="16">
        <v>1</v>
      </c>
      <c r="B5" s="17" t="s">
        <v>52</v>
      </c>
      <c r="C5" s="17">
        <v>20</v>
      </c>
      <c r="D5" s="17">
        <v>40000</v>
      </c>
      <c r="E5" s="17">
        <f t="shared" ref="E5:E20" si="0">PRODUCT(C5,D5)</f>
        <v>800000</v>
      </c>
      <c r="F5" s="17" t="str">
        <f>IF(E5&gt;500000,"expensive","lets buy it")</f>
        <v>expensive</v>
      </c>
      <c r="H5" s="5">
        <f t="shared" ref="H5:H14" si="1">$C$5:$C$14*$D$5:$D$14</f>
        <v>800000</v>
      </c>
      <c r="I5" s="5">
        <f>COUNTA(B5:B14)</f>
        <v>10</v>
      </c>
      <c r="J5" s="5">
        <f>COUNTIF(C5:C14,"&gt;20")</f>
        <v>3</v>
      </c>
      <c r="K5" s="5">
        <f>SUMIF(B5:B14,B11,C5:C14)</f>
        <v>10</v>
      </c>
      <c r="L5" s="5">
        <f>SUMIF(B5:B14,B11,D5:D14)</f>
        <v>25000</v>
      </c>
      <c r="M5" s="5" t="str">
        <f t="shared" ref="M5:M6" si="2">IF(E5&gt;500000,"EXPENSIVE","LETS BAY IT")</f>
        <v>EXPENSIVE</v>
      </c>
    </row>
    <row r="6" spans="1:13" ht="15.75" customHeight="1">
      <c r="A6" s="16">
        <v>2</v>
      </c>
      <c r="B6" s="17" t="s">
        <v>53</v>
      </c>
      <c r="C6" s="17">
        <v>30</v>
      </c>
      <c r="D6" s="17">
        <v>20000</v>
      </c>
      <c r="E6" s="17">
        <f t="shared" si="0"/>
        <v>600000</v>
      </c>
      <c r="F6" s="17" t="str">
        <f>IF(E6&gt;500000,"Expensive","Lets Buy it")</f>
        <v>Expensive</v>
      </c>
      <c r="H6" s="5">
        <f t="shared" si="1"/>
        <v>600000</v>
      </c>
      <c r="J6" s="5">
        <f>COUNTIF(C5:C14,"&lt;20")</f>
        <v>6</v>
      </c>
      <c r="K6" s="5">
        <f>SUMIF(B5:B14,B10,C5:C14)</f>
        <v>32</v>
      </c>
      <c r="L6" s="5">
        <f>SUMIF(B5:B14,B11,E5:E14)</f>
        <v>250000</v>
      </c>
      <c r="M6" s="5" t="str">
        <f t="shared" si="2"/>
        <v>EXPENSIVE</v>
      </c>
    </row>
    <row r="7" spans="1:13" ht="15.75" customHeight="1">
      <c r="A7" s="16">
        <v>3</v>
      </c>
      <c r="B7" s="17" t="s">
        <v>54</v>
      </c>
      <c r="C7" s="17">
        <v>15</v>
      </c>
      <c r="D7" s="17">
        <v>10000</v>
      </c>
      <c r="E7" s="17">
        <f t="shared" si="0"/>
        <v>150000</v>
      </c>
      <c r="F7" s="17" t="str">
        <f>IF(E7&gt;500000,"expensive","lets buy it")</f>
        <v>lets buy it</v>
      </c>
      <c r="H7" s="5">
        <f t="shared" si="1"/>
        <v>150000</v>
      </c>
      <c r="M7" s="5" t="str">
        <f t="shared" ref="M7:M14" si="3">IF(E7&gt;500000,"EXPENSIVE","LETS BUY IT")</f>
        <v>LETS BUY IT</v>
      </c>
    </row>
    <row r="8" spans="1:13" ht="15.75" customHeight="1">
      <c r="A8" s="16">
        <v>4</v>
      </c>
      <c r="B8" s="17" t="s">
        <v>55</v>
      </c>
      <c r="C8" s="17">
        <v>14</v>
      </c>
      <c r="D8" s="17">
        <v>15000</v>
      </c>
      <c r="E8" s="17">
        <f t="shared" si="0"/>
        <v>210000</v>
      </c>
      <c r="F8" s="17" t="str">
        <f>IF(E8&gt;500000,"Expensive","Lets Buy it")</f>
        <v>Lets Buy it</v>
      </c>
      <c r="H8" s="5">
        <f t="shared" si="1"/>
        <v>210000</v>
      </c>
      <c r="M8" s="5" t="str">
        <f t="shared" si="3"/>
        <v>LETS BUY IT</v>
      </c>
    </row>
    <row r="9" spans="1:13" ht="15.75" customHeight="1">
      <c r="A9" s="16">
        <v>5</v>
      </c>
      <c r="B9" s="17" t="s">
        <v>56</v>
      </c>
      <c r="C9" s="17">
        <v>18</v>
      </c>
      <c r="D9" s="17">
        <v>20000</v>
      </c>
      <c r="E9" s="17">
        <f t="shared" si="0"/>
        <v>360000</v>
      </c>
      <c r="F9" s="17" t="str">
        <f>IF(E9&gt;500000,"expensive","lets buy it")</f>
        <v>lets buy it</v>
      </c>
      <c r="H9" s="5">
        <f t="shared" si="1"/>
        <v>360000</v>
      </c>
      <c r="M9" s="5" t="str">
        <f t="shared" si="3"/>
        <v>LETS BUY IT</v>
      </c>
    </row>
    <row r="10" spans="1:13" ht="15.75" customHeight="1">
      <c r="A10" s="16">
        <v>6</v>
      </c>
      <c r="B10" s="17" t="s">
        <v>54</v>
      </c>
      <c r="C10" s="17">
        <v>17</v>
      </c>
      <c r="D10" s="17">
        <v>2000</v>
      </c>
      <c r="E10" s="17">
        <f t="shared" si="0"/>
        <v>34000</v>
      </c>
      <c r="F10" s="17" t="str">
        <f>IF(E10&gt;500000,"Expensive","Lets Buy it")</f>
        <v>Lets Buy it</v>
      </c>
      <c r="H10" s="5">
        <f t="shared" si="1"/>
        <v>34000</v>
      </c>
      <c r="M10" s="5" t="str">
        <f t="shared" si="3"/>
        <v>LETS BUY IT</v>
      </c>
    </row>
    <row r="11" spans="1:13" ht="15.75" customHeight="1">
      <c r="A11" s="16">
        <v>7</v>
      </c>
      <c r="B11" s="17" t="s">
        <v>57</v>
      </c>
      <c r="C11" s="17">
        <v>10</v>
      </c>
      <c r="D11" s="17">
        <v>25000</v>
      </c>
      <c r="E11" s="17">
        <f t="shared" si="0"/>
        <v>250000</v>
      </c>
      <c r="F11" s="17" t="str">
        <f>IF(E11&gt;500000,"expensive","lets buy it")</f>
        <v>lets buy it</v>
      </c>
      <c r="H11" s="5">
        <f t="shared" si="1"/>
        <v>250000</v>
      </c>
      <c r="M11" s="5" t="str">
        <f t="shared" si="3"/>
        <v>LETS BUY IT</v>
      </c>
    </row>
    <row r="12" spans="1:13" ht="15.75" customHeight="1">
      <c r="A12" s="16">
        <v>8</v>
      </c>
      <c r="B12" s="17" t="s">
        <v>58</v>
      </c>
      <c r="C12" s="17">
        <v>5</v>
      </c>
      <c r="D12" s="17">
        <v>250</v>
      </c>
      <c r="E12" s="17">
        <f t="shared" si="0"/>
        <v>1250</v>
      </c>
      <c r="F12" s="17" t="str">
        <f>IF(E12&gt;500000,"Expensive","Lets Buy it")</f>
        <v>Lets Buy it</v>
      </c>
      <c r="H12" s="5">
        <f t="shared" si="1"/>
        <v>1250</v>
      </c>
      <c r="M12" s="5" t="str">
        <f t="shared" si="3"/>
        <v>LETS BUY IT</v>
      </c>
    </row>
    <row r="13" spans="1:13" ht="15.75" customHeight="1">
      <c r="A13" s="16">
        <v>9</v>
      </c>
      <c r="B13" s="17" t="s">
        <v>59</v>
      </c>
      <c r="C13" s="17">
        <v>25</v>
      </c>
      <c r="D13" s="17">
        <v>100</v>
      </c>
      <c r="E13" s="17">
        <f t="shared" si="0"/>
        <v>2500</v>
      </c>
      <c r="F13" s="17" t="str">
        <f>IF(E13&gt;500000,"expensive","lets buy it")</f>
        <v>lets buy it</v>
      </c>
      <c r="H13" s="5">
        <f t="shared" si="1"/>
        <v>2500</v>
      </c>
      <c r="M13" s="5" t="str">
        <f t="shared" si="3"/>
        <v>LETS BUY IT</v>
      </c>
    </row>
    <row r="14" spans="1:13" ht="15.75" customHeight="1">
      <c r="A14" s="18">
        <v>10</v>
      </c>
      <c r="B14" s="19" t="s">
        <v>60</v>
      </c>
      <c r="C14" s="19">
        <v>30</v>
      </c>
      <c r="D14" s="19">
        <v>12000</v>
      </c>
      <c r="E14" s="17">
        <f t="shared" si="0"/>
        <v>360000</v>
      </c>
      <c r="F14" s="17" t="str">
        <f>IF(E14&gt;500000,"Expensive","Lets Buy it")</f>
        <v>Lets Buy it</v>
      </c>
      <c r="H14" s="5">
        <f t="shared" si="1"/>
        <v>360000</v>
      </c>
      <c r="M14" s="5" t="str">
        <f t="shared" si="3"/>
        <v>LETS BUY IT</v>
      </c>
    </row>
    <row r="15" spans="1:13" ht="15.6">
      <c r="B15" s="20">
        <f>COUNTA(B5:B14)</f>
        <v>10</v>
      </c>
      <c r="C15" s="20">
        <f>COUNTIF(C4:C14,"&gt;20")</f>
        <v>3</v>
      </c>
      <c r="D15" s="20"/>
      <c r="E15" s="21">
        <f t="shared" si="0"/>
        <v>3</v>
      </c>
    </row>
    <row r="16" spans="1:13" ht="19.5" customHeight="1">
      <c r="A16" s="11" t="s">
        <v>61</v>
      </c>
      <c r="B16" s="11"/>
      <c r="C16" s="11"/>
      <c r="D16" s="20"/>
      <c r="E16" s="21">
        <f t="shared" si="0"/>
        <v>0</v>
      </c>
    </row>
    <row r="17" spans="1:13" ht="19.5" customHeight="1">
      <c r="A17" s="11" t="s">
        <v>62</v>
      </c>
      <c r="B17" s="11"/>
      <c r="C17" s="11"/>
      <c r="D17" s="20"/>
      <c r="E17" s="21">
        <f t="shared" si="0"/>
        <v>0</v>
      </c>
      <c r="H17" s="5" t="s">
        <v>63</v>
      </c>
      <c r="I17" s="5" t="s">
        <v>64</v>
      </c>
      <c r="J17" s="5" t="s">
        <v>65</v>
      </c>
      <c r="K17" s="5" t="s">
        <v>66</v>
      </c>
    </row>
    <row r="18" spans="1:13" ht="19.5" customHeight="1">
      <c r="A18" s="11" t="s">
        <v>67</v>
      </c>
      <c r="B18" s="11"/>
      <c r="C18" s="11"/>
      <c r="D18" s="20"/>
      <c r="E18" s="21">
        <f t="shared" si="0"/>
        <v>0</v>
      </c>
      <c r="H18" s="5" t="s">
        <v>68</v>
      </c>
      <c r="I18" s="5">
        <f>SUMIF(B:B,H18,C:C)</f>
        <v>20</v>
      </c>
      <c r="J18" s="5">
        <f>SUMIF(B:B,H18,D:D)</f>
        <v>25000</v>
      </c>
      <c r="K18" s="5">
        <f>SUMIF(B:B,H18,E:E)</f>
        <v>250000</v>
      </c>
    </row>
    <row r="19" spans="1:13" ht="19.5" customHeight="1">
      <c r="A19" s="11" t="s">
        <v>69</v>
      </c>
      <c r="B19" s="11"/>
      <c r="C19" s="11"/>
      <c r="D19" s="20"/>
      <c r="E19" s="21">
        <f t="shared" si="0"/>
        <v>0</v>
      </c>
    </row>
    <row r="20" spans="1:13" ht="19.5" customHeight="1">
      <c r="A20" s="11" t="s">
        <v>70</v>
      </c>
      <c r="B20" s="11"/>
      <c r="C20" s="11"/>
      <c r="D20" s="20"/>
      <c r="E20" s="21">
        <f t="shared" si="0"/>
        <v>0</v>
      </c>
    </row>
    <row r="21" spans="1:13" ht="15.75" customHeight="1">
      <c r="E21" s="21"/>
    </row>
    <row r="22" spans="1:13" ht="15.75" customHeight="1">
      <c r="C22" s="5" t="s">
        <v>64</v>
      </c>
      <c r="D22" s="5" t="s">
        <v>71</v>
      </c>
      <c r="E22" s="21" t="s">
        <v>72</v>
      </c>
      <c r="H22" s="283" t="s">
        <v>1223</v>
      </c>
      <c r="J22" s="283" t="s">
        <v>1224</v>
      </c>
      <c r="L22" s="283" t="s">
        <v>1225</v>
      </c>
      <c r="M22" s="283" t="s">
        <v>1226</v>
      </c>
    </row>
    <row r="23" spans="1:13" ht="15.75" customHeight="1">
      <c r="B23" s="5" t="s">
        <v>73</v>
      </c>
      <c r="C23" s="5">
        <f>SUMIF(B5:B14,"computer",C5:C14)</f>
        <v>10</v>
      </c>
      <c r="E23" s="21"/>
      <c r="H23">
        <f t="shared" ref="H23:H32" si="4">C5*D5</f>
        <v>800000</v>
      </c>
      <c r="J23">
        <f>COUNTA(B5:B14)</f>
        <v>10</v>
      </c>
      <c r="L23">
        <f>COUNTIF(C5:C14,"&gt;20")</f>
        <v>3</v>
      </c>
      <c r="M23">
        <f>SUMIF(B5:B14,"computer",D5:D14)</f>
        <v>25000</v>
      </c>
    </row>
    <row r="24" spans="1:13" ht="15.75" customHeight="1">
      <c r="E24" s="21"/>
      <c r="H24">
        <f t="shared" si="4"/>
        <v>600000</v>
      </c>
      <c r="L24">
        <f>COUNTIF(C5:C14,"&lt;20")</f>
        <v>6</v>
      </c>
      <c r="M24">
        <f>SUMIF(B5:B14,"computer",C5:C15)</f>
        <v>10</v>
      </c>
    </row>
    <row r="25" spans="1:13" ht="15.75" customHeight="1">
      <c r="E25" s="21"/>
      <c r="H25">
        <f t="shared" si="4"/>
        <v>150000</v>
      </c>
      <c r="M25">
        <f>SUMIF(B5:B14,"computer",E5:E14)</f>
        <v>250000</v>
      </c>
    </row>
    <row r="26" spans="1:13" ht="15.75" customHeight="1">
      <c r="E26" s="21"/>
      <c r="H26">
        <f t="shared" si="4"/>
        <v>210000</v>
      </c>
    </row>
    <row r="27" spans="1:13" ht="15.75" customHeight="1">
      <c r="E27" s="21"/>
      <c r="H27">
        <f t="shared" si="4"/>
        <v>360000</v>
      </c>
    </row>
    <row r="28" spans="1:13" ht="15.75" customHeight="1">
      <c r="E28" s="21"/>
      <c r="H28">
        <f t="shared" si="4"/>
        <v>34000</v>
      </c>
    </row>
    <row r="29" spans="1:13" ht="15.75" customHeight="1">
      <c r="E29" s="285" t="s">
        <v>1227</v>
      </c>
      <c r="H29">
        <f t="shared" si="4"/>
        <v>250000</v>
      </c>
    </row>
    <row r="30" spans="1:13" ht="15.75" customHeight="1">
      <c r="E30" s="21" t="str" cm="1">
        <f t="array" ref="E30:E39">IF(E5:E14&gt;500000,"Expensive","lets")</f>
        <v>Expensive</v>
      </c>
      <c r="H30">
        <f t="shared" si="4"/>
        <v>1250</v>
      </c>
    </row>
    <row r="31" spans="1:13" ht="15.75" customHeight="1">
      <c r="E31" s="21" t="str">
        <v>Expensive</v>
      </c>
      <c r="H31">
        <f t="shared" si="4"/>
        <v>2500</v>
      </c>
    </row>
    <row r="32" spans="1:13" ht="15.75" customHeight="1">
      <c r="E32" s="21" t="str">
        <v>lets</v>
      </c>
      <c r="H32">
        <f t="shared" si="4"/>
        <v>360000</v>
      </c>
    </row>
    <row r="33" spans="5:5" ht="15.75" customHeight="1">
      <c r="E33" s="21" t="str">
        <v>lets</v>
      </c>
    </row>
    <row r="34" spans="5:5" ht="15.75" customHeight="1">
      <c r="E34" s="21" t="str">
        <v>lets</v>
      </c>
    </row>
    <row r="35" spans="5:5" ht="15.75" customHeight="1">
      <c r="E35" s="21" t="str">
        <v>lets</v>
      </c>
    </row>
    <row r="36" spans="5:5" ht="15.75" customHeight="1">
      <c r="E36" s="21" t="str">
        <v>lets</v>
      </c>
    </row>
    <row r="37" spans="5:5" ht="15.75" customHeight="1">
      <c r="E37" s="21" t="str">
        <v>lets</v>
      </c>
    </row>
    <row r="38" spans="5:5" ht="15.75" customHeight="1">
      <c r="E38" s="21" t="str">
        <v>lets</v>
      </c>
    </row>
    <row r="39" spans="5:5" ht="15.75" customHeight="1">
      <c r="E39" s="21" t="str">
        <v>lets</v>
      </c>
    </row>
    <row r="40" spans="5:5" ht="15.75" customHeight="1">
      <c r="E40" s="21"/>
    </row>
    <row r="41" spans="5:5" ht="15.75" customHeight="1">
      <c r="E41" s="21"/>
    </row>
    <row r="42" spans="5:5" ht="15.75" customHeight="1">
      <c r="E42" s="21"/>
    </row>
    <row r="43" spans="5:5" ht="15.75" customHeight="1">
      <c r="E43" s="21"/>
    </row>
    <row r="44" spans="5:5" ht="15.75" customHeight="1">
      <c r="E44" s="21"/>
    </row>
    <row r="45" spans="5:5" ht="15.75" customHeight="1">
      <c r="E45" s="21"/>
    </row>
    <row r="46" spans="5:5" ht="15.75" customHeight="1">
      <c r="E46" s="21"/>
    </row>
    <row r="47" spans="5:5" ht="15.75" customHeight="1">
      <c r="E47" s="21"/>
    </row>
    <row r="48" spans="5:5" ht="15.75" customHeight="1">
      <c r="E48" s="21"/>
    </row>
    <row r="49" spans="5:5" ht="15.75" customHeight="1">
      <c r="E49" s="21"/>
    </row>
    <row r="50" spans="5:5" ht="15.75" customHeight="1">
      <c r="E50" s="21"/>
    </row>
    <row r="51" spans="5:5" ht="15.75" customHeight="1">
      <c r="E51" s="21"/>
    </row>
    <row r="52" spans="5:5" ht="15.75" customHeight="1">
      <c r="E52" s="21"/>
    </row>
    <row r="53" spans="5:5" ht="15.75" customHeight="1">
      <c r="E53" s="21"/>
    </row>
    <row r="54" spans="5:5" ht="15.75" customHeight="1">
      <c r="E54" s="21"/>
    </row>
    <row r="55" spans="5:5" ht="15.75" customHeight="1">
      <c r="E55" s="21"/>
    </row>
    <row r="56" spans="5:5" ht="15.75" customHeight="1">
      <c r="E56" s="21"/>
    </row>
    <row r="57" spans="5:5" ht="15.75" customHeight="1">
      <c r="E57" s="21"/>
    </row>
    <row r="58" spans="5:5" ht="15.75" customHeight="1">
      <c r="E58" s="21"/>
    </row>
    <row r="59" spans="5:5" ht="15.75" customHeight="1">
      <c r="E59" s="21"/>
    </row>
    <row r="60" spans="5:5" ht="15.75" customHeight="1">
      <c r="E60" s="21"/>
    </row>
    <row r="61" spans="5:5" ht="15.75" customHeight="1">
      <c r="E61" s="21"/>
    </row>
    <row r="62" spans="5:5" ht="15.75" customHeight="1">
      <c r="E62" s="21"/>
    </row>
    <row r="63" spans="5:5" ht="15.75" customHeight="1">
      <c r="E63" s="21"/>
    </row>
    <row r="64" spans="5:5" ht="15.75" customHeight="1">
      <c r="E64" s="21"/>
    </row>
    <row r="65" spans="5:5" ht="15.75" customHeight="1">
      <c r="E65" s="21"/>
    </row>
    <row r="66" spans="5:5" ht="15.75" customHeight="1">
      <c r="E66" s="21"/>
    </row>
    <row r="67" spans="5:5" ht="15.75" customHeight="1">
      <c r="E67" s="21"/>
    </row>
    <row r="68" spans="5:5" ht="15.75" customHeight="1">
      <c r="E68" s="21"/>
    </row>
    <row r="69" spans="5:5" ht="15.75" customHeight="1">
      <c r="E69" s="21"/>
    </row>
    <row r="70" spans="5:5" ht="15.75" customHeight="1">
      <c r="E70" s="21"/>
    </row>
    <row r="71" spans="5:5" ht="15.75" customHeight="1">
      <c r="E71" s="21"/>
    </row>
    <row r="72" spans="5:5" ht="15.75" customHeight="1">
      <c r="E72" s="21"/>
    </row>
    <row r="73" spans="5:5" ht="15.75" customHeight="1">
      <c r="E73" s="21"/>
    </row>
    <row r="74" spans="5:5" ht="15.75" customHeight="1">
      <c r="E74" s="21"/>
    </row>
    <row r="75" spans="5:5" ht="15.75" customHeight="1">
      <c r="E75" s="21"/>
    </row>
    <row r="76" spans="5:5" ht="15.75" customHeight="1">
      <c r="E76" s="21"/>
    </row>
    <row r="77" spans="5:5" ht="15.75" customHeight="1">
      <c r="E77" s="21"/>
    </row>
    <row r="78" spans="5:5" ht="15.75" customHeight="1">
      <c r="E78" s="21"/>
    </row>
    <row r="79" spans="5:5" ht="15.75" customHeight="1">
      <c r="E79" s="21"/>
    </row>
    <row r="80" spans="5:5" ht="15.75" customHeight="1">
      <c r="E80" s="21"/>
    </row>
    <row r="81" spans="5:5" ht="15.75" customHeight="1">
      <c r="E81" s="21"/>
    </row>
    <row r="82" spans="5:5" ht="15.75" customHeight="1">
      <c r="E82" s="21"/>
    </row>
    <row r="83" spans="5:5" ht="15.75" customHeight="1">
      <c r="E83" s="21"/>
    </row>
    <row r="84" spans="5:5" ht="15.75" customHeight="1">
      <c r="E84" s="21"/>
    </row>
    <row r="85" spans="5:5" ht="15.75" customHeight="1">
      <c r="E85" s="21"/>
    </row>
    <row r="86" spans="5:5" ht="15.75" customHeight="1">
      <c r="E86" s="21"/>
    </row>
    <row r="87" spans="5:5" ht="15.75" customHeight="1">
      <c r="E87" s="21"/>
    </row>
    <row r="88" spans="5:5" ht="15.75" customHeight="1">
      <c r="E88" s="21"/>
    </row>
    <row r="89" spans="5:5" ht="15.75" customHeight="1">
      <c r="E89" s="21"/>
    </row>
    <row r="90" spans="5:5" ht="15.75" customHeight="1">
      <c r="E90" s="21"/>
    </row>
    <row r="91" spans="5:5" ht="15.75" customHeight="1">
      <c r="E91" s="21"/>
    </row>
    <row r="92" spans="5:5" ht="15.75" customHeight="1">
      <c r="E92" s="21"/>
    </row>
    <row r="93" spans="5:5" ht="15.75" customHeight="1">
      <c r="E93" s="21"/>
    </row>
    <row r="94" spans="5:5" ht="15.75" customHeight="1">
      <c r="E94" s="21"/>
    </row>
    <row r="95" spans="5:5" ht="15.75" customHeight="1">
      <c r="E95" s="21"/>
    </row>
    <row r="96" spans="5:5" ht="15.75" customHeight="1">
      <c r="E96" s="21"/>
    </row>
    <row r="97" spans="5:5" ht="15.75" customHeight="1">
      <c r="E97" s="21"/>
    </row>
    <row r="98" spans="5:5" ht="15.75" customHeight="1">
      <c r="E98" s="21"/>
    </row>
    <row r="99" spans="5:5" ht="15.75" customHeight="1">
      <c r="E99" s="21"/>
    </row>
    <row r="100" spans="5:5" ht="15.75" customHeight="1">
      <c r="E100" s="21"/>
    </row>
    <row r="101" spans="5:5" ht="15.75" customHeight="1">
      <c r="E101" s="21"/>
    </row>
    <row r="102" spans="5:5" ht="15.75" customHeight="1">
      <c r="E102" s="21"/>
    </row>
    <row r="103" spans="5:5" ht="15.75" customHeight="1">
      <c r="E103" s="21"/>
    </row>
    <row r="104" spans="5:5" ht="15.75" customHeight="1">
      <c r="E104" s="21"/>
    </row>
    <row r="105" spans="5:5" ht="15.75" customHeight="1">
      <c r="E105" s="21"/>
    </row>
    <row r="106" spans="5:5" ht="15.75" customHeight="1">
      <c r="E106" s="21"/>
    </row>
    <row r="107" spans="5:5" ht="15.75" customHeight="1">
      <c r="E107" s="21"/>
    </row>
    <row r="108" spans="5:5" ht="15.75" customHeight="1">
      <c r="E108" s="21"/>
    </row>
    <row r="109" spans="5:5" ht="15.75" customHeight="1">
      <c r="E109" s="21"/>
    </row>
    <row r="110" spans="5:5" ht="15.75" customHeight="1">
      <c r="E110" s="21"/>
    </row>
    <row r="111" spans="5:5" ht="15.75" customHeight="1">
      <c r="E111" s="21"/>
    </row>
    <row r="112" spans="5:5" ht="15.75" customHeight="1">
      <c r="E112" s="21"/>
    </row>
    <row r="113" spans="5:5" ht="15.75" customHeight="1">
      <c r="E113" s="21"/>
    </row>
    <row r="114" spans="5:5" ht="15.75" customHeight="1">
      <c r="E114" s="21"/>
    </row>
    <row r="115" spans="5:5" ht="15.75" customHeight="1">
      <c r="E115" s="21"/>
    </row>
    <row r="116" spans="5:5" ht="15.75" customHeight="1">
      <c r="E116" s="21"/>
    </row>
    <row r="117" spans="5:5" ht="15.75" customHeight="1">
      <c r="E117" s="21"/>
    </row>
    <row r="118" spans="5:5" ht="15.75" customHeight="1">
      <c r="E118" s="21"/>
    </row>
    <row r="119" spans="5:5" ht="15.75" customHeight="1">
      <c r="E119" s="21"/>
    </row>
    <row r="120" spans="5:5" ht="15.75" customHeight="1">
      <c r="E120" s="21"/>
    </row>
    <row r="121" spans="5:5" ht="15.75" customHeight="1">
      <c r="E121" s="21"/>
    </row>
    <row r="122" spans="5:5" ht="15.75" customHeight="1">
      <c r="E122" s="21"/>
    </row>
    <row r="123" spans="5:5" ht="15.75" customHeight="1">
      <c r="E123" s="21"/>
    </row>
    <row r="124" spans="5:5" ht="15.75" customHeight="1">
      <c r="E124" s="21"/>
    </row>
    <row r="125" spans="5:5" ht="15.75" customHeight="1">
      <c r="E125" s="21"/>
    </row>
    <row r="126" spans="5:5" ht="15.75" customHeight="1">
      <c r="E126" s="21"/>
    </row>
    <row r="127" spans="5:5" ht="15.75" customHeight="1">
      <c r="E127" s="21"/>
    </row>
    <row r="128" spans="5:5" ht="15.75" customHeight="1">
      <c r="E128" s="21"/>
    </row>
    <row r="129" spans="5:5" ht="15.75" customHeight="1">
      <c r="E129" s="21"/>
    </row>
    <row r="130" spans="5:5" ht="15.75" customHeight="1">
      <c r="E130" s="21"/>
    </row>
    <row r="131" spans="5:5" ht="15.75" customHeight="1">
      <c r="E131" s="21"/>
    </row>
    <row r="132" spans="5:5" ht="15.75" customHeight="1">
      <c r="E132" s="21"/>
    </row>
    <row r="133" spans="5:5" ht="15.75" customHeight="1">
      <c r="E133" s="21"/>
    </row>
    <row r="134" spans="5:5" ht="15.75" customHeight="1">
      <c r="E134" s="21"/>
    </row>
    <row r="135" spans="5:5" ht="15.75" customHeight="1">
      <c r="E135" s="21"/>
    </row>
    <row r="136" spans="5:5" ht="15.75" customHeight="1">
      <c r="E136" s="21"/>
    </row>
    <row r="137" spans="5:5" ht="15.75" customHeight="1">
      <c r="E137" s="21"/>
    </row>
    <row r="138" spans="5:5" ht="15.75" customHeight="1">
      <c r="E138" s="21"/>
    </row>
    <row r="139" spans="5:5" ht="15.75" customHeight="1">
      <c r="E139" s="21"/>
    </row>
    <row r="140" spans="5:5" ht="15.75" customHeight="1">
      <c r="E140" s="21"/>
    </row>
    <row r="141" spans="5:5" ht="15.75" customHeight="1">
      <c r="E141" s="21"/>
    </row>
    <row r="142" spans="5:5" ht="15.75" customHeight="1">
      <c r="E142" s="21"/>
    </row>
    <row r="143" spans="5:5" ht="15.75" customHeight="1">
      <c r="E143" s="21"/>
    </row>
    <row r="144" spans="5:5" ht="15.75" customHeight="1">
      <c r="E144" s="21"/>
    </row>
    <row r="145" spans="5:5" ht="15.75" customHeight="1">
      <c r="E145" s="21"/>
    </row>
    <row r="146" spans="5:5" ht="15.75" customHeight="1">
      <c r="E146" s="21"/>
    </row>
    <row r="147" spans="5:5" ht="15.75" customHeight="1">
      <c r="E147" s="21"/>
    </row>
    <row r="148" spans="5:5" ht="15.75" customHeight="1">
      <c r="E148" s="21"/>
    </row>
    <row r="149" spans="5:5" ht="15.75" customHeight="1">
      <c r="E149" s="21"/>
    </row>
    <row r="150" spans="5:5" ht="15.75" customHeight="1">
      <c r="E150" s="21"/>
    </row>
    <row r="151" spans="5:5" ht="15.75" customHeight="1">
      <c r="E151" s="21"/>
    </row>
    <row r="152" spans="5:5" ht="15.75" customHeight="1">
      <c r="E152" s="21"/>
    </row>
    <row r="153" spans="5:5" ht="15.75" customHeight="1">
      <c r="E153" s="21"/>
    </row>
    <row r="154" spans="5:5" ht="15.75" customHeight="1">
      <c r="E154" s="21"/>
    </row>
    <row r="155" spans="5:5" ht="15.75" customHeight="1">
      <c r="E155" s="21"/>
    </row>
    <row r="156" spans="5:5" ht="15.75" customHeight="1">
      <c r="E156" s="21"/>
    </row>
    <row r="157" spans="5:5" ht="15.75" customHeight="1">
      <c r="E157" s="21"/>
    </row>
    <row r="158" spans="5:5" ht="15.75" customHeight="1">
      <c r="E158" s="21"/>
    </row>
    <row r="159" spans="5:5" ht="15.75" customHeight="1">
      <c r="E159" s="21"/>
    </row>
    <row r="160" spans="5:5" ht="15.75" customHeight="1">
      <c r="E160" s="21"/>
    </row>
    <row r="161" spans="5:5" ht="15.75" customHeight="1">
      <c r="E161" s="21"/>
    </row>
    <row r="162" spans="5:5" ht="15.75" customHeight="1">
      <c r="E162" s="21"/>
    </row>
    <row r="163" spans="5:5" ht="15.75" customHeight="1">
      <c r="E163" s="21"/>
    </row>
    <row r="164" spans="5:5" ht="15.75" customHeight="1">
      <c r="E164" s="21"/>
    </row>
    <row r="165" spans="5:5" ht="15.75" customHeight="1">
      <c r="E165" s="21"/>
    </row>
    <row r="166" spans="5:5" ht="15.75" customHeight="1">
      <c r="E166" s="21"/>
    </row>
    <row r="167" spans="5:5" ht="15.75" customHeight="1">
      <c r="E167" s="21"/>
    </row>
    <row r="168" spans="5:5" ht="15.75" customHeight="1">
      <c r="E168" s="21"/>
    </row>
    <row r="169" spans="5:5" ht="15.75" customHeight="1">
      <c r="E169" s="21"/>
    </row>
    <row r="170" spans="5:5" ht="15.75" customHeight="1">
      <c r="E170" s="21"/>
    </row>
    <row r="171" spans="5:5" ht="15.75" customHeight="1">
      <c r="E171" s="21"/>
    </row>
    <row r="172" spans="5:5" ht="15.75" customHeight="1">
      <c r="E172" s="21"/>
    </row>
    <row r="173" spans="5:5" ht="15.75" customHeight="1">
      <c r="E173" s="21"/>
    </row>
    <row r="174" spans="5:5" ht="15.75" customHeight="1">
      <c r="E174" s="21"/>
    </row>
    <row r="175" spans="5:5" ht="15.75" customHeight="1">
      <c r="E175" s="21"/>
    </row>
    <row r="176" spans="5:5" ht="15.75" customHeight="1">
      <c r="E176" s="21"/>
    </row>
    <row r="177" spans="5:5" ht="15.75" customHeight="1">
      <c r="E177" s="21"/>
    </row>
    <row r="178" spans="5:5" ht="15.75" customHeight="1">
      <c r="E178" s="21"/>
    </row>
    <row r="179" spans="5:5" ht="15.75" customHeight="1">
      <c r="E179" s="21"/>
    </row>
    <row r="180" spans="5:5" ht="15.75" customHeight="1">
      <c r="E180" s="21"/>
    </row>
    <row r="181" spans="5:5" ht="15.75" customHeight="1">
      <c r="E181" s="21"/>
    </row>
    <row r="182" spans="5:5" ht="15.75" customHeight="1">
      <c r="E182" s="21"/>
    </row>
    <row r="183" spans="5:5" ht="15.75" customHeight="1">
      <c r="E183" s="21"/>
    </row>
    <row r="184" spans="5:5" ht="15.75" customHeight="1">
      <c r="E184" s="21"/>
    </row>
    <row r="185" spans="5:5" ht="15.75" customHeight="1">
      <c r="E185" s="21"/>
    </row>
    <row r="186" spans="5:5" ht="15.75" customHeight="1">
      <c r="E186" s="21"/>
    </row>
    <row r="187" spans="5:5" ht="15.75" customHeight="1">
      <c r="E187" s="21"/>
    </row>
    <row r="188" spans="5:5" ht="15.75" customHeight="1">
      <c r="E188" s="21"/>
    </row>
    <row r="189" spans="5:5" ht="15.75" customHeight="1">
      <c r="E189" s="21"/>
    </row>
    <row r="190" spans="5:5" ht="15.75" customHeight="1">
      <c r="E190" s="21"/>
    </row>
    <row r="191" spans="5:5" ht="15.75" customHeight="1">
      <c r="E191" s="21"/>
    </row>
    <row r="192" spans="5:5" ht="15.75" customHeight="1">
      <c r="E192" s="21"/>
    </row>
    <row r="193" spans="5:5" ht="15.75" customHeight="1">
      <c r="E193" s="21"/>
    </row>
    <row r="194" spans="5:5" ht="15.75" customHeight="1">
      <c r="E194" s="21"/>
    </row>
    <row r="195" spans="5:5" ht="15.75" customHeight="1">
      <c r="E195" s="21"/>
    </row>
    <row r="196" spans="5:5" ht="15.75" customHeight="1">
      <c r="E196" s="21"/>
    </row>
    <row r="197" spans="5:5" ht="15.75" customHeight="1">
      <c r="E197" s="21"/>
    </row>
    <row r="198" spans="5:5" ht="15.75" customHeight="1">
      <c r="E198" s="21"/>
    </row>
    <row r="199" spans="5:5" ht="15.75" customHeight="1">
      <c r="E199" s="21"/>
    </row>
    <row r="200" spans="5:5" ht="15.75" customHeight="1">
      <c r="E200" s="21"/>
    </row>
    <row r="201" spans="5:5" ht="15.75" customHeight="1">
      <c r="E201" s="21"/>
    </row>
    <row r="202" spans="5:5" ht="15.75" customHeight="1">
      <c r="E202" s="21"/>
    </row>
    <row r="203" spans="5:5" ht="15.75" customHeight="1">
      <c r="E203" s="21"/>
    </row>
    <row r="204" spans="5:5" ht="15.75" customHeight="1">
      <c r="E204" s="21"/>
    </row>
    <row r="205" spans="5:5" ht="15.75" customHeight="1">
      <c r="E205" s="21"/>
    </row>
    <row r="206" spans="5:5" ht="15.75" customHeight="1">
      <c r="E206" s="21"/>
    </row>
    <row r="207" spans="5:5" ht="15.75" customHeight="1">
      <c r="E207" s="21"/>
    </row>
    <row r="208" spans="5:5" ht="15.75" customHeight="1">
      <c r="E208" s="21"/>
    </row>
    <row r="209" spans="5:5" ht="15.75" customHeight="1">
      <c r="E209" s="21"/>
    </row>
    <row r="210" spans="5:5" ht="15.75" customHeight="1">
      <c r="E210" s="21"/>
    </row>
    <row r="211" spans="5:5" ht="15.75" customHeight="1">
      <c r="E211" s="21"/>
    </row>
    <row r="212" spans="5:5" ht="15.75" customHeight="1">
      <c r="E212" s="21"/>
    </row>
    <row r="213" spans="5:5" ht="15.75" customHeight="1">
      <c r="E213" s="21"/>
    </row>
    <row r="214" spans="5:5" ht="15.75" customHeight="1">
      <c r="E214" s="21"/>
    </row>
    <row r="215" spans="5:5" ht="15.75" customHeight="1">
      <c r="E215" s="21"/>
    </row>
    <row r="216" spans="5:5" ht="15.75" customHeight="1">
      <c r="E216" s="21"/>
    </row>
    <row r="217" spans="5:5" ht="15.75" customHeight="1">
      <c r="E217" s="21"/>
    </row>
    <row r="218" spans="5:5" ht="15.75" customHeight="1">
      <c r="E218" s="21"/>
    </row>
    <row r="219" spans="5:5" ht="15.75" customHeight="1">
      <c r="E219" s="21"/>
    </row>
    <row r="220" spans="5:5" ht="15.75" customHeight="1">
      <c r="E220" s="21"/>
    </row>
    <row r="221" spans="5:5" ht="15.75" customHeight="1">
      <c r="E221" s="21"/>
    </row>
    <row r="222" spans="5:5" ht="15.75" customHeight="1">
      <c r="E222" s="21"/>
    </row>
    <row r="223" spans="5:5" ht="15.75" customHeight="1">
      <c r="E223" s="21"/>
    </row>
    <row r="224" spans="5:5" ht="15.75" customHeight="1">
      <c r="E224" s="21"/>
    </row>
    <row r="225" spans="5:5" ht="15.75" customHeight="1">
      <c r="E225" s="21"/>
    </row>
    <row r="226" spans="5:5" ht="15.75" customHeight="1">
      <c r="E226" s="21"/>
    </row>
    <row r="227" spans="5:5" ht="15.75" customHeight="1">
      <c r="E227" s="21"/>
    </row>
    <row r="228" spans="5:5" ht="15.75" customHeight="1">
      <c r="E228" s="21"/>
    </row>
    <row r="229" spans="5:5" ht="15.75" customHeight="1">
      <c r="E229" s="21"/>
    </row>
    <row r="230" spans="5:5" ht="15.75" customHeight="1">
      <c r="E230" s="21"/>
    </row>
    <row r="231" spans="5:5" ht="15.75" customHeight="1">
      <c r="E231" s="21"/>
    </row>
    <row r="232" spans="5:5" ht="15.75" customHeight="1">
      <c r="E232" s="21"/>
    </row>
    <row r="233" spans="5:5" ht="15.75" customHeight="1">
      <c r="E233" s="21"/>
    </row>
    <row r="234" spans="5:5" ht="15.75" customHeight="1">
      <c r="E234" s="21"/>
    </row>
    <row r="235" spans="5:5" ht="15.75" customHeight="1">
      <c r="E235" s="21"/>
    </row>
    <row r="236" spans="5:5" ht="15.75" customHeight="1">
      <c r="E236" s="21"/>
    </row>
    <row r="237" spans="5:5" ht="15.75" customHeight="1">
      <c r="E237" s="21"/>
    </row>
    <row r="238" spans="5:5" ht="15.75" customHeight="1">
      <c r="E238" s="21"/>
    </row>
    <row r="239" spans="5:5" ht="15.75" customHeight="1">
      <c r="E239" s="21"/>
    </row>
    <row r="240" spans="5:5" ht="15.75" customHeight="1">
      <c r="E240" s="21"/>
    </row>
    <row r="241" spans="5:5" ht="15.75" customHeight="1">
      <c r="E241" s="21"/>
    </row>
    <row r="242" spans="5:5" ht="15.75" customHeight="1">
      <c r="E242" s="21"/>
    </row>
    <row r="243" spans="5:5" ht="15.75" customHeight="1">
      <c r="E243" s="21"/>
    </row>
    <row r="244" spans="5:5" ht="15.75" customHeight="1">
      <c r="E244" s="21"/>
    </row>
    <row r="245" spans="5:5" ht="15.75" customHeight="1">
      <c r="E245" s="21"/>
    </row>
    <row r="246" spans="5:5" ht="15.75" customHeight="1">
      <c r="E246" s="21"/>
    </row>
    <row r="247" spans="5:5" ht="15.75" customHeight="1">
      <c r="E247" s="21"/>
    </row>
    <row r="248" spans="5:5" ht="15.75" customHeight="1">
      <c r="E248" s="21"/>
    </row>
    <row r="249" spans="5:5" ht="15.75" customHeight="1">
      <c r="E249" s="21"/>
    </row>
    <row r="250" spans="5:5" ht="15.75" customHeight="1">
      <c r="E250" s="21"/>
    </row>
    <row r="251" spans="5:5" ht="15.75" customHeight="1">
      <c r="E251" s="21"/>
    </row>
    <row r="252" spans="5:5" ht="15.75" customHeight="1">
      <c r="E252" s="21"/>
    </row>
    <row r="253" spans="5:5" ht="15.75" customHeight="1">
      <c r="E253" s="21"/>
    </row>
    <row r="254" spans="5:5" ht="15.75" customHeight="1">
      <c r="E254" s="21"/>
    </row>
    <row r="255" spans="5:5" ht="15.75" customHeight="1">
      <c r="E255" s="21"/>
    </row>
    <row r="256" spans="5:5" ht="15.75" customHeight="1">
      <c r="E256" s="21"/>
    </row>
    <row r="257" spans="5:5" ht="15.75" customHeight="1">
      <c r="E257" s="21"/>
    </row>
    <row r="258" spans="5:5" ht="15.75" customHeight="1">
      <c r="E258" s="21"/>
    </row>
    <row r="259" spans="5:5" ht="15.75" customHeight="1">
      <c r="E259" s="21"/>
    </row>
    <row r="260" spans="5:5" ht="15.75" customHeight="1">
      <c r="E260" s="21"/>
    </row>
    <row r="261" spans="5:5" ht="15.75" customHeight="1">
      <c r="E261" s="21"/>
    </row>
    <row r="262" spans="5:5" ht="15.75" customHeight="1">
      <c r="E262" s="21"/>
    </row>
    <row r="263" spans="5:5" ht="15.75" customHeight="1">
      <c r="E263" s="21"/>
    </row>
    <row r="264" spans="5:5" ht="15.75" customHeight="1">
      <c r="E264" s="21"/>
    </row>
    <row r="265" spans="5:5" ht="15.75" customHeight="1">
      <c r="E265" s="21"/>
    </row>
    <row r="266" spans="5:5" ht="15.75" customHeight="1">
      <c r="E266" s="21"/>
    </row>
    <row r="267" spans="5:5" ht="15.75" customHeight="1">
      <c r="E267" s="21"/>
    </row>
    <row r="268" spans="5:5" ht="15.75" customHeight="1">
      <c r="E268" s="21"/>
    </row>
    <row r="269" spans="5:5" ht="15.75" customHeight="1">
      <c r="E269" s="21"/>
    </row>
    <row r="270" spans="5:5" ht="15.75" customHeight="1">
      <c r="E270" s="21"/>
    </row>
    <row r="271" spans="5:5" ht="15.75" customHeight="1">
      <c r="E271" s="21"/>
    </row>
    <row r="272" spans="5:5" ht="15.75" customHeight="1">
      <c r="E272" s="21"/>
    </row>
    <row r="273" spans="5:5" ht="15.75" customHeight="1">
      <c r="E273" s="21"/>
    </row>
    <row r="274" spans="5:5" ht="15.75" customHeight="1">
      <c r="E274" s="21"/>
    </row>
    <row r="275" spans="5:5" ht="15.75" customHeight="1">
      <c r="E275" s="21"/>
    </row>
    <row r="276" spans="5:5" ht="15.75" customHeight="1">
      <c r="E276" s="21"/>
    </row>
    <row r="277" spans="5:5" ht="15.75" customHeight="1">
      <c r="E277" s="21"/>
    </row>
    <row r="278" spans="5:5" ht="15.75" customHeight="1">
      <c r="E278" s="21"/>
    </row>
    <row r="279" spans="5:5" ht="15.75" customHeight="1">
      <c r="E279" s="21"/>
    </row>
    <row r="280" spans="5:5" ht="15.75" customHeight="1">
      <c r="E280" s="21"/>
    </row>
    <row r="281" spans="5:5" ht="15.75" customHeight="1">
      <c r="E281" s="21"/>
    </row>
    <row r="282" spans="5:5" ht="15.75" customHeight="1">
      <c r="E282" s="21"/>
    </row>
    <row r="283" spans="5:5" ht="15.75" customHeight="1">
      <c r="E283" s="21"/>
    </row>
    <row r="284" spans="5:5" ht="15.75" customHeight="1">
      <c r="E284" s="21"/>
    </row>
    <row r="285" spans="5:5" ht="15.75" customHeight="1">
      <c r="E285" s="21"/>
    </row>
    <row r="286" spans="5:5" ht="15.75" customHeight="1">
      <c r="E286" s="21"/>
    </row>
    <row r="287" spans="5:5" ht="15.75" customHeight="1">
      <c r="E287" s="21"/>
    </row>
    <row r="288" spans="5:5" ht="15.75" customHeight="1">
      <c r="E288" s="21"/>
    </row>
    <row r="289" spans="5:5" ht="15.75" customHeight="1">
      <c r="E289" s="21"/>
    </row>
    <row r="290" spans="5:5" ht="15.75" customHeight="1">
      <c r="E290" s="21"/>
    </row>
    <row r="291" spans="5:5" ht="15.75" customHeight="1">
      <c r="E291" s="21"/>
    </row>
    <row r="292" spans="5:5" ht="15.75" customHeight="1">
      <c r="E292" s="21"/>
    </row>
    <row r="293" spans="5:5" ht="15.75" customHeight="1">
      <c r="E293" s="21"/>
    </row>
    <row r="294" spans="5:5" ht="15.75" customHeight="1">
      <c r="E294" s="21"/>
    </row>
    <row r="295" spans="5:5" ht="15.75" customHeight="1">
      <c r="E295" s="21"/>
    </row>
    <row r="296" spans="5:5" ht="15.75" customHeight="1">
      <c r="E296" s="21"/>
    </row>
    <row r="297" spans="5:5" ht="15.75" customHeight="1">
      <c r="E297" s="21"/>
    </row>
    <row r="298" spans="5:5" ht="15.75" customHeight="1">
      <c r="E298" s="21"/>
    </row>
    <row r="299" spans="5:5" ht="15.75" customHeight="1">
      <c r="E299" s="21"/>
    </row>
    <row r="300" spans="5:5" ht="15.75" customHeight="1">
      <c r="E300" s="21"/>
    </row>
    <row r="301" spans="5:5" ht="15.75" customHeight="1">
      <c r="E301" s="21"/>
    </row>
    <row r="302" spans="5:5" ht="15.75" customHeight="1">
      <c r="E302" s="21"/>
    </row>
    <row r="303" spans="5:5" ht="15.75" customHeight="1">
      <c r="E303" s="21"/>
    </row>
    <row r="304" spans="5:5" ht="15.75" customHeight="1">
      <c r="E304" s="21"/>
    </row>
    <row r="305" spans="5:5" ht="15.75" customHeight="1">
      <c r="E305" s="21"/>
    </row>
    <row r="306" spans="5:5" ht="15.75" customHeight="1">
      <c r="E306" s="21"/>
    </row>
    <row r="307" spans="5:5" ht="15.75" customHeight="1">
      <c r="E307" s="21"/>
    </row>
    <row r="308" spans="5:5" ht="15.75" customHeight="1">
      <c r="E308" s="21"/>
    </row>
    <row r="309" spans="5:5" ht="15.75" customHeight="1">
      <c r="E309" s="21"/>
    </row>
    <row r="310" spans="5:5" ht="15.75" customHeight="1">
      <c r="E310" s="21"/>
    </row>
    <row r="311" spans="5:5" ht="15.75" customHeight="1">
      <c r="E311" s="21"/>
    </row>
    <row r="312" spans="5:5" ht="15.75" customHeight="1">
      <c r="E312" s="21"/>
    </row>
    <row r="313" spans="5:5" ht="15.75" customHeight="1">
      <c r="E313" s="21"/>
    </row>
    <row r="314" spans="5:5" ht="15.75" customHeight="1">
      <c r="E314" s="21"/>
    </row>
    <row r="315" spans="5:5" ht="15.75" customHeight="1">
      <c r="E315" s="21"/>
    </row>
    <row r="316" spans="5:5" ht="15.75" customHeight="1">
      <c r="E316" s="21"/>
    </row>
    <row r="317" spans="5:5" ht="15.75" customHeight="1">
      <c r="E317" s="21"/>
    </row>
    <row r="318" spans="5:5" ht="15.75" customHeight="1">
      <c r="E318" s="21"/>
    </row>
    <row r="319" spans="5:5" ht="15.75" customHeight="1">
      <c r="E319" s="21"/>
    </row>
    <row r="320" spans="5:5" ht="15.75" customHeight="1">
      <c r="E320" s="21"/>
    </row>
    <row r="321" spans="5:5" ht="15.75" customHeight="1">
      <c r="E321" s="21"/>
    </row>
    <row r="322" spans="5:5" ht="15.75" customHeight="1">
      <c r="E322" s="21"/>
    </row>
    <row r="323" spans="5:5" ht="15.75" customHeight="1">
      <c r="E323" s="21"/>
    </row>
    <row r="324" spans="5:5" ht="15.75" customHeight="1">
      <c r="E324" s="21"/>
    </row>
    <row r="325" spans="5:5" ht="15.75" customHeight="1">
      <c r="E325" s="21"/>
    </row>
    <row r="326" spans="5:5" ht="15.75" customHeight="1">
      <c r="E326" s="21"/>
    </row>
    <row r="327" spans="5:5" ht="15.75" customHeight="1">
      <c r="E327" s="21"/>
    </row>
    <row r="328" spans="5:5" ht="15.75" customHeight="1">
      <c r="E328" s="21"/>
    </row>
    <row r="329" spans="5:5" ht="15.75" customHeight="1">
      <c r="E329" s="21"/>
    </row>
    <row r="330" spans="5:5" ht="15.75" customHeight="1">
      <c r="E330" s="21"/>
    </row>
    <row r="331" spans="5:5" ht="15.75" customHeight="1">
      <c r="E331" s="21"/>
    </row>
    <row r="332" spans="5:5" ht="15.75" customHeight="1">
      <c r="E332" s="21"/>
    </row>
    <row r="333" spans="5:5" ht="15.75" customHeight="1">
      <c r="E333" s="21"/>
    </row>
    <row r="334" spans="5:5" ht="15.75" customHeight="1">
      <c r="E334" s="21"/>
    </row>
    <row r="335" spans="5:5" ht="15.75" customHeight="1">
      <c r="E335" s="21"/>
    </row>
    <row r="336" spans="5:5" ht="15.75" customHeight="1">
      <c r="E336" s="21"/>
    </row>
    <row r="337" spans="5:5" ht="15.75" customHeight="1">
      <c r="E337" s="21"/>
    </row>
    <row r="338" spans="5:5" ht="15.75" customHeight="1">
      <c r="E338" s="21"/>
    </row>
    <row r="339" spans="5:5" ht="15.75" customHeight="1">
      <c r="E339" s="21"/>
    </row>
    <row r="340" spans="5:5" ht="15.75" customHeight="1">
      <c r="E340" s="21"/>
    </row>
    <row r="341" spans="5:5" ht="15.75" customHeight="1">
      <c r="E341" s="21"/>
    </row>
    <row r="342" spans="5:5" ht="15.75" customHeight="1">
      <c r="E342" s="21"/>
    </row>
    <row r="343" spans="5:5" ht="15.75" customHeight="1">
      <c r="E343" s="21"/>
    </row>
    <row r="344" spans="5:5" ht="15.75" customHeight="1">
      <c r="E344" s="21"/>
    </row>
    <row r="345" spans="5:5" ht="15.75" customHeight="1">
      <c r="E345" s="21"/>
    </row>
    <row r="346" spans="5:5" ht="15.75" customHeight="1">
      <c r="E346" s="21"/>
    </row>
    <row r="347" spans="5:5" ht="15.75" customHeight="1">
      <c r="E347" s="21"/>
    </row>
    <row r="348" spans="5:5" ht="15.75" customHeight="1">
      <c r="E348" s="21"/>
    </row>
    <row r="349" spans="5:5" ht="15.75" customHeight="1">
      <c r="E349" s="21"/>
    </row>
    <row r="350" spans="5:5" ht="15.75" customHeight="1">
      <c r="E350" s="21"/>
    </row>
    <row r="351" spans="5:5" ht="15.75" customHeight="1">
      <c r="E351" s="21"/>
    </row>
    <row r="352" spans="5:5" ht="15.75" customHeight="1">
      <c r="E352" s="21"/>
    </row>
    <row r="353" spans="5:5" ht="15.75" customHeight="1">
      <c r="E353" s="21"/>
    </row>
    <row r="354" spans="5:5" ht="15.75" customHeight="1">
      <c r="E354" s="21"/>
    </row>
    <row r="355" spans="5:5" ht="15.75" customHeight="1">
      <c r="E355" s="21"/>
    </row>
    <row r="356" spans="5:5" ht="15.75" customHeight="1">
      <c r="E356" s="21"/>
    </row>
    <row r="357" spans="5:5" ht="15.75" customHeight="1">
      <c r="E357" s="21"/>
    </row>
    <row r="358" spans="5:5" ht="15.75" customHeight="1">
      <c r="E358" s="21"/>
    </row>
    <row r="359" spans="5:5" ht="15.75" customHeight="1">
      <c r="E359" s="21"/>
    </row>
    <row r="360" spans="5:5" ht="15.75" customHeight="1">
      <c r="E360" s="21"/>
    </row>
    <row r="361" spans="5:5" ht="15.75" customHeight="1">
      <c r="E361" s="21"/>
    </row>
    <row r="362" spans="5:5" ht="15.75" customHeight="1">
      <c r="E362" s="21"/>
    </row>
    <row r="363" spans="5:5" ht="15.75" customHeight="1">
      <c r="E363" s="21"/>
    </row>
    <row r="364" spans="5:5" ht="15.75" customHeight="1">
      <c r="E364" s="21"/>
    </row>
    <row r="365" spans="5:5" ht="15.75" customHeight="1">
      <c r="E365" s="21"/>
    </row>
    <row r="366" spans="5:5" ht="15.75" customHeight="1">
      <c r="E366" s="21"/>
    </row>
    <row r="367" spans="5:5" ht="15.75" customHeight="1">
      <c r="E367" s="21"/>
    </row>
    <row r="368" spans="5:5" ht="15.75" customHeight="1">
      <c r="E368" s="21"/>
    </row>
    <row r="369" spans="5:5" ht="15.75" customHeight="1">
      <c r="E369" s="21"/>
    </row>
    <row r="370" spans="5:5" ht="15.75" customHeight="1">
      <c r="E370" s="21"/>
    </row>
    <row r="371" spans="5:5" ht="15.75" customHeight="1">
      <c r="E371" s="21"/>
    </row>
    <row r="372" spans="5:5" ht="15.75" customHeight="1">
      <c r="E372" s="21"/>
    </row>
    <row r="373" spans="5:5" ht="15.75" customHeight="1">
      <c r="E373" s="21"/>
    </row>
    <row r="374" spans="5:5" ht="15.75" customHeight="1">
      <c r="E374" s="21"/>
    </row>
    <row r="375" spans="5:5" ht="15.75" customHeight="1">
      <c r="E375" s="21"/>
    </row>
    <row r="376" spans="5:5" ht="15.75" customHeight="1">
      <c r="E376" s="21"/>
    </row>
    <row r="377" spans="5:5" ht="15.75" customHeight="1">
      <c r="E377" s="21"/>
    </row>
    <row r="378" spans="5:5" ht="15.75" customHeight="1">
      <c r="E378" s="21"/>
    </row>
    <row r="379" spans="5:5" ht="15.75" customHeight="1">
      <c r="E379" s="21"/>
    </row>
    <row r="380" spans="5:5" ht="15.75" customHeight="1">
      <c r="E380" s="21"/>
    </row>
    <row r="381" spans="5:5" ht="15.75" customHeight="1">
      <c r="E381" s="21"/>
    </row>
    <row r="382" spans="5:5" ht="15.75" customHeight="1">
      <c r="E382" s="21"/>
    </row>
    <row r="383" spans="5:5" ht="15.75" customHeight="1">
      <c r="E383" s="21"/>
    </row>
    <row r="384" spans="5:5" ht="15.75" customHeight="1">
      <c r="E384" s="21"/>
    </row>
    <row r="385" spans="5:5" ht="15.75" customHeight="1">
      <c r="E385" s="21"/>
    </row>
    <row r="386" spans="5:5" ht="15.75" customHeight="1">
      <c r="E386" s="21"/>
    </row>
    <row r="387" spans="5:5" ht="15.75" customHeight="1">
      <c r="E387" s="21"/>
    </row>
    <row r="388" spans="5:5" ht="15.75" customHeight="1">
      <c r="E388" s="21"/>
    </row>
    <row r="389" spans="5:5" ht="15.75" customHeight="1">
      <c r="E389" s="21"/>
    </row>
    <row r="390" spans="5:5" ht="15.75" customHeight="1">
      <c r="E390" s="21"/>
    </row>
    <row r="391" spans="5:5" ht="15.75" customHeight="1">
      <c r="E391" s="21"/>
    </row>
    <row r="392" spans="5:5" ht="15.75" customHeight="1">
      <c r="E392" s="21"/>
    </row>
    <row r="393" spans="5:5" ht="15.75" customHeight="1">
      <c r="E393" s="21"/>
    </row>
    <row r="394" spans="5:5" ht="15.75" customHeight="1">
      <c r="E394" s="21"/>
    </row>
    <row r="395" spans="5:5" ht="15.75" customHeight="1">
      <c r="E395" s="21"/>
    </row>
    <row r="396" spans="5:5" ht="15.75" customHeight="1">
      <c r="E396" s="21"/>
    </row>
    <row r="397" spans="5:5" ht="15.75" customHeight="1">
      <c r="E397" s="21"/>
    </row>
    <row r="398" spans="5:5" ht="15.75" customHeight="1">
      <c r="E398" s="21"/>
    </row>
    <row r="399" spans="5:5" ht="15.75" customHeight="1">
      <c r="E399" s="21"/>
    </row>
    <row r="400" spans="5:5" ht="15.75" customHeight="1">
      <c r="E400" s="21"/>
    </row>
    <row r="401" spans="5:5" ht="15.75" customHeight="1">
      <c r="E401" s="21"/>
    </row>
    <row r="402" spans="5:5" ht="15.75" customHeight="1">
      <c r="E402" s="21"/>
    </row>
    <row r="403" spans="5:5" ht="15.75" customHeight="1">
      <c r="E403" s="21"/>
    </row>
    <row r="404" spans="5:5" ht="15.75" customHeight="1">
      <c r="E404" s="21"/>
    </row>
    <row r="405" spans="5:5" ht="15.75" customHeight="1">
      <c r="E405" s="21"/>
    </row>
    <row r="406" spans="5:5" ht="15.75" customHeight="1">
      <c r="E406" s="21"/>
    </row>
    <row r="407" spans="5:5" ht="15.75" customHeight="1">
      <c r="E407" s="21"/>
    </row>
    <row r="408" spans="5:5" ht="15.75" customHeight="1">
      <c r="E408" s="21"/>
    </row>
    <row r="409" spans="5:5" ht="15.75" customHeight="1">
      <c r="E409" s="21"/>
    </row>
    <row r="410" spans="5:5" ht="15.75" customHeight="1">
      <c r="E410" s="21"/>
    </row>
    <row r="411" spans="5:5" ht="15.75" customHeight="1">
      <c r="E411" s="21"/>
    </row>
    <row r="412" spans="5:5" ht="15.75" customHeight="1">
      <c r="E412" s="21"/>
    </row>
    <row r="413" spans="5:5" ht="15.75" customHeight="1">
      <c r="E413" s="21"/>
    </row>
    <row r="414" spans="5:5" ht="15.75" customHeight="1">
      <c r="E414" s="21"/>
    </row>
    <row r="415" spans="5:5" ht="15.75" customHeight="1">
      <c r="E415" s="21"/>
    </row>
    <row r="416" spans="5:5" ht="15.75" customHeight="1">
      <c r="E416" s="21"/>
    </row>
    <row r="417" spans="5:5" ht="15.75" customHeight="1">
      <c r="E417" s="21"/>
    </row>
    <row r="418" spans="5:5" ht="15.75" customHeight="1">
      <c r="E418" s="21"/>
    </row>
    <row r="419" spans="5:5" ht="15.75" customHeight="1">
      <c r="E419" s="21"/>
    </row>
    <row r="420" spans="5:5" ht="15.75" customHeight="1">
      <c r="E420" s="21"/>
    </row>
    <row r="421" spans="5:5" ht="15.75" customHeight="1">
      <c r="E421" s="21"/>
    </row>
    <row r="422" spans="5:5" ht="15.75" customHeight="1">
      <c r="E422" s="21"/>
    </row>
    <row r="423" spans="5:5" ht="15.75" customHeight="1">
      <c r="E423" s="21"/>
    </row>
    <row r="424" spans="5:5" ht="15.75" customHeight="1">
      <c r="E424" s="21"/>
    </row>
    <row r="425" spans="5:5" ht="15.75" customHeight="1">
      <c r="E425" s="21"/>
    </row>
    <row r="426" spans="5:5" ht="15.75" customHeight="1">
      <c r="E426" s="21"/>
    </row>
    <row r="427" spans="5:5" ht="15.75" customHeight="1">
      <c r="E427" s="21"/>
    </row>
    <row r="428" spans="5:5" ht="15.75" customHeight="1">
      <c r="E428" s="21"/>
    </row>
    <row r="429" spans="5:5" ht="15.75" customHeight="1">
      <c r="E429" s="21"/>
    </row>
    <row r="430" spans="5:5" ht="15.75" customHeight="1">
      <c r="E430" s="21"/>
    </row>
    <row r="431" spans="5:5" ht="15.75" customHeight="1">
      <c r="E431" s="21"/>
    </row>
    <row r="432" spans="5:5" ht="15.75" customHeight="1">
      <c r="E432" s="21"/>
    </row>
    <row r="433" spans="5:5" ht="15.75" customHeight="1">
      <c r="E433" s="21"/>
    </row>
    <row r="434" spans="5:5" ht="15.75" customHeight="1">
      <c r="E434" s="21"/>
    </row>
    <row r="435" spans="5:5" ht="15.75" customHeight="1">
      <c r="E435" s="21"/>
    </row>
    <row r="436" spans="5:5" ht="15.75" customHeight="1">
      <c r="E436" s="21"/>
    </row>
    <row r="437" spans="5:5" ht="15.75" customHeight="1">
      <c r="E437" s="21"/>
    </row>
    <row r="438" spans="5:5" ht="15.75" customHeight="1">
      <c r="E438" s="21"/>
    </row>
    <row r="439" spans="5:5" ht="15.75" customHeight="1">
      <c r="E439" s="21"/>
    </row>
    <row r="440" spans="5:5" ht="15.75" customHeight="1">
      <c r="E440" s="21"/>
    </row>
    <row r="441" spans="5:5" ht="15.75" customHeight="1">
      <c r="E441" s="21"/>
    </row>
    <row r="442" spans="5:5" ht="15.75" customHeight="1">
      <c r="E442" s="21"/>
    </row>
    <row r="443" spans="5:5" ht="15.75" customHeight="1">
      <c r="E443" s="21"/>
    </row>
    <row r="444" spans="5:5" ht="15.75" customHeight="1">
      <c r="E444" s="21"/>
    </row>
    <row r="445" spans="5:5" ht="15.75" customHeight="1">
      <c r="E445" s="21"/>
    </row>
    <row r="446" spans="5:5" ht="15.75" customHeight="1">
      <c r="E446" s="21"/>
    </row>
    <row r="447" spans="5:5" ht="15.75" customHeight="1">
      <c r="E447" s="21"/>
    </row>
    <row r="448" spans="5:5" ht="15.75" customHeight="1">
      <c r="E448" s="21"/>
    </row>
    <row r="449" spans="5:5" ht="15.75" customHeight="1">
      <c r="E449" s="21"/>
    </row>
    <row r="450" spans="5:5" ht="15.75" customHeight="1">
      <c r="E450" s="21"/>
    </row>
    <row r="451" spans="5:5" ht="15.75" customHeight="1">
      <c r="E451" s="21"/>
    </row>
    <row r="452" spans="5:5" ht="15.75" customHeight="1">
      <c r="E452" s="21"/>
    </row>
    <row r="453" spans="5:5" ht="15.75" customHeight="1">
      <c r="E453" s="21"/>
    </row>
    <row r="454" spans="5:5" ht="15.75" customHeight="1">
      <c r="E454" s="21"/>
    </row>
    <row r="455" spans="5:5" ht="15.75" customHeight="1">
      <c r="E455" s="21"/>
    </row>
    <row r="456" spans="5:5" ht="15.75" customHeight="1">
      <c r="E456" s="21"/>
    </row>
    <row r="457" spans="5:5" ht="15.75" customHeight="1">
      <c r="E457" s="21"/>
    </row>
    <row r="458" spans="5:5" ht="15.75" customHeight="1">
      <c r="E458" s="21"/>
    </row>
    <row r="459" spans="5:5" ht="15.75" customHeight="1">
      <c r="E459" s="21"/>
    </row>
    <row r="460" spans="5:5" ht="15.75" customHeight="1">
      <c r="E460" s="21"/>
    </row>
    <row r="461" spans="5:5" ht="15.75" customHeight="1">
      <c r="E461" s="21"/>
    </row>
    <row r="462" spans="5:5" ht="15.75" customHeight="1">
      <c r="E462" s="21"/>
    </row>
    <row r="463" spans="5:5" ht="15.75" customHeight="1">
      <c r="E463" s="21"/>
    </row>
    <row r="464" spans="5:5" ht="15.75" customHeight="1">
      <c r="E464" s="21"/>
    </row>
    <row r="465" spans="5:5" ht="15.75" customHeight="1">
      <c r="E465" s="21"/>
    </row>
    <row r="466" spans="5:5" ht="15.75" customHeight="1">
      <c r="E466" s="21"/>
    </row>
    <row r="467" spans="5:5" ht="15.75" customHeight="1">
      <c r="E467" s="21"/>
    </row>
    <row r="468" spans="5:5" ht="15.75" customHeight="1">
      <c r="E468" s="21"/>
    </row>
    <row r="469" spans="5:5" ht="15.75" customHeight="1">
      <c r="E469" s="21"/>
    </row>
    <row r="470" spans="5:5" ht="15.75" customHeight="1">
      <c r="E470" s="21"/>
    </row>
    <row r="471" spans="5:5" ht="15.75" customHeight="1">
      <c r="E471" s="21"/>
    </row>
    <row r="472" spans="5:5" ht="15.75" customHeight="1">
      <c r="E472" s="21"/>
    </row>
    <row r="473" spans="5:5" ht="15.75" customHeight="1">
      <c r="E473" s="21"/>
    </row>
    <row r="474" spans="5:5" ht="15.75" customHeight="1">
      <c r="E474" s="21"/>
    </row>
    <row r="475" spans="5:5" ht="15.75" customHeight="1">
      <c r="E475" s="21"/>
    </row>
    <row r="476" spans="5:5" ht="15.75" customHeight="1">
      <c r="E476" s="21"/>
    </row>
    <row r="477" spans="5:5" ht="15.75" customHeight="1">
      <c r="E477" s="21"/>
    </row>
    <row r="478" spans="5:5" ht="15.75" customHeight="1">
      <c r="E478" s="21"/>
    </row>
    <row r="479" spans="5:5" ht="15.75" customHeight="1">
      <c r="E479" s="21"/>
    </row>
    <row r="480" spans="5:5" ht="15.75" customHeight="1">
      <c r="E480" s="21"/>
    </row>
    <row r="481" spans="5:5" ht="15.75" customHeight="1">
      <c r="E481" s="21"/>
    </row>
    <row r="482" spans="5:5" ht="15.75" customHeight="1">
      <c r="E482" s="21"/>
    </row>
    <row r="483" spans="5:5" ht="15.75" customHeight="1">
      <c r="E483" s="21"/>
    </row>
    <row r="484" spans="5:5" ht="15.75" customHeight="1">
      <c r="E484" s="21"/>
    </row>
    <row r="485" spans="5:5" ht="15.75" customHeight="1">
      <c r="E485" s="21"/>
    </row>
    <row r="486" spans="5:5" ht="15.75" customHeight="1">
      <c r="E486" s="21"/>
    </row>
    <row r="487" spans="5:5" ht="15.75" customHeight="1">
      <c r="E487" s="21"/>
    </row>
    <row r="488" spans="5:5" ht="15.75" customHeight="1">
      <c r="E488" s="21"/>
    </row>
    <row r="489" spans="5:5" ht="15.75" customHeight="1">
      <c r="E489" s="21"/>
    </row>
    <row r="490" spans="5:5" ht="15.75" customHeight="1">
      <c r="E490" s="21"/>
    </row>
    <row r="491" spans="5:5" ht="15.75" customHeight="1">
      <c r="E491" s="21"/>
    </row>
    <row r="492" spans="5:5" ht="15.75" customHeight="1">
      <c r="E492" s="21"/>
    </row>
    <row r="493" spans="5:5" ht="15.75" customHeight="1">
      <c r="E493" s="21"/>
    </row>
    <row r="494" spans="5:5" ht="15.75" customHeight="1">
      <c r="E494" s="21"/>
    </row>
    <row r="495" spans="5:5" ht="15.75" customHeight="1">
      <c r="E495" s="21"/>
    </row>
    <row r="496" spans="5:5" ht="15.75" customHeight="1">
      <c r="E496" s="21"/>
    </row>
    <row r="497" spans="5:5" ht="15.75" customHeight="1">
      <c r="E497" s="21"/>
    </row>
    <row r="498" spans="5:5" ht="15.75" customHeight="1">
      <c r="E498" s="21"/>
    </row>
    <row r="499" spans="5:5" ht="15.75" customHeight="1">
      <c r="E499" s="21"/>
    </row>
    <row r="500" spans="5:5" ht="15.75" customHeight="1">
      <c r="E500" s="21"/>
    </row>
    <row r="501" spans="5:5" ht="15.75" customHeight="1">
      <c r="E501" s="21"/>
    </row>
    <row r="502" spans="5:5" ht="15.75" customHeight="1">
      <c r="E502" s="21"/>
    </row>
    <row r="503" spans="5:5" ht="15.75" customHeight="1">
      <c r="E503" s="21"/>
    </row>
    <row r="504" spans="5:5" ht="15.75" customHeight="1">
      <c r="E504" s="21"/>
    </row>
    <row r="505" spans="5:5" ht="15.75" customHeight="1">
      <c r="E505" s="21"/>
    </row>
    <row r="506" spans="5:5" ht="15.75" customHeight="1">
      <c r="E506" s="21"/>
    </row>
    <row r="507" spans="5:5" ht="15.75" customHeight="1">
      <c r="E507" s="21"/>
    </row>
    <row r="508" spans="5:5" ht="15.75" customHeight="1">
      <c r="E508" s="21"/>
    </row>
    <row r="509" spans="5:5" ht="15.75" customHeight="1">
      <c r="E509" s="21"/>
    </row>
    <row r="510" spans="5:5" ht="15.75" customHeight="1">
      <c r="E510" s="21"/>
    </row>
    <row r="511" spans="5:5" ht="15.75" customHeight="1">
      <c r="E511" s="21"/>
    </row>
    <row r="512" spans="5:5" ht="15.75" customHeight="1">
      <c r="E512" s="21"/>
    </row>
    <row r="513" spans="5:5" ht="15.75" customHeight="1">
      <c r="E513" s="21"/>
    </row>
    <row r="514" spans="5:5" ht="15.75" customHeight="1">
      <c r="E514" s="21"/>
    </row>
    <row r="515" spans="5:5" ht="15.75" customHeight="1">
      <c r="E515" s="21"/>
    </row>
    <row r="516" spans="5:5" ht="15.75" customHeight="1">
      <c r="E516" s="21"/>
    </row>
    <row r="517" spans="5:5" ht="15.75" customHeight="1">
      <c r="E517" s="21"/>
    </row>
    <row r="518" spans="5:5" ht="15.75" customHeight="1">
      <c r="E518" s="21"/>
    </row>
    <row r="519" spans="5:5" ht="15.75" customHeight="1">
      <c r="E519" s="21"/>
    </row>
    <row r="520" spans="5:5" ht="15.75" customHeight="1">
      <c r="E520" s="21"/>
    </row>
    <row r="521" spans="5:5" ht="15.75" customHeight="1">
      <c r="E521" s="21"/>
    </row>
    <row r="522" spans="5:5" ht="15.75" customHeight="1">
      <c r="E522" s="21"/>
    </row>
    <row r="523" spans="5:5" ht="15.75" customHeight="1">
      <c r="E523" s="21"/>
    </row>
    <row r="524" spans="5:5" ht="15.75" customHeight="1">
      <c r="E524" s="21"/>
    </row>
    <row r="525" spans="5:5" ht="15.75" customHeight="1">
      <c r="E525" s="21"/>
    </row>
    <row r="526" spans="5:5" ht="15.75" customHeight="1">
      <c r="E526" s="21"/>
    </row>
    <row r="527" spans="5:5" ht="15.75" customHeight="1">
      <c r="E527" s="21"/>
    </row>
    <row r="528" spans="5:5" ht="15.75" customHeight="1">
      <c r="E528" s="21"/>
    </row>
    <row r="529" spans="5:5" ht="15.75" customHeight="1">
      <c r="E529" s="21"/>
    </row>
    <row r="530" spans="5:5" ht="15.75" customHeight="1">
      <c r="E530" s="21"/>
    </row>
    <row r="531" spans="5:5" ht="15.75" customHeight="1">
      <c r="E531" s="21"/>
    </row>
    <row r="532" spans="5:5" ht="15.75" customHeight="1">
      <c r="E532" s="21"/>
    </row>
    <row r="533" spans="5:5" ht="15.75" customHeight="1">
      <c r="E533" s="21"/>
    </row>
    <row r="534" spans="5:5" ht="15.75" customHeight="1">
      <c r="E534" s="21"/>
    </row>
    <row r="535" spans="5:5" ht="15.75" customHeight="1">
      <c r="E535" s="21"/>
    </row>
    <row r="536" spans="5:5" ht="15.75" customHeight="1">
      <c r="E536" s="21"/>
    </row>
    <row r="537" spans="5:5" ht="15.75" customHeight="1">
      <c r="E537" s="21"/>
    </row>
    <row r="538" spans="5:5" ht="15.75" customHeight="1">
      <c r="E538" s="21"/>
    </row>
    <row r="539" spans="5:5" ht="15.75" customHeight="1">
      <c r="E539" s="21"/>
    </row>
    <row r="540" spans="5:5" ht="15.75" customHeight="1">
      <c r="E540" s="21"/>
    </row>
    <row r="541" spans="5:5" ht="15.75" customHeight="1">
      <c r="E541" s="21"/>
    </row>
    <row r="542" spans="5:5" ht="15.75" customHeight="1">
      <c r="E542" s="21"/>
    </row>
    <row r="543" spans="5:5" ht="15.75" customHeight="1">
      <c r="E543" s="21"/>
    </row>
    <row r="544" spans="5:5" ht="15.75" customHeight="1">
      <c r="E544" s="21"/>
    </row>
    <row r="545" spans="5:5" ht="15.75" customHeight="1">
      <c r="E545" s="21"/>
    </row>
    <row r="546" spans="5:5" ht="15.75" customHeight="1">
      <c r="E546" s="21"/>
    </row>
    <row r="547" spans="5:5" ht="15.75" customHeight="1">
      <c r="E547" s="21"/>
    </row>
    <row r="548" spans="5:5" ht="15.75" customHeight="1">
      <c r="E548" s="21"/>
    </row>
    <row r="549" spans="5:5" ht="15.75" customHeight="1">
      <c r="E549" s="21"/>
    </row>
    <row r="550" spans="5:5" ht="15.75" customHeight="1">
      <c r="E550" s="21"/>
    </row>
    <row r="551" spans="5:5" ht="15.75" customHeight="1">
      <c r="E551" s="21"/>
    </row>
    <row r="552" spans="5:5" ht="15.75" customHeight="1">
      <c r="E552" s="21"/>
    </row>
    <row r="553" spans="5:5" ht="15.75" customHeight="1">
      <c r="E553" s="21"/>
    </row>
    <row r="554" spans="5:5" ht="15.75" customHeight="1">
      <c r="E554" s="21"/>
    </row>
    <row r="555" spans="5:5" ht="15.75" customHeight="1">
      <c r="E555" s="21"/>
    </row>
    <row r="556" spans="5:5" ht="15.75" customHeight="1">
      <c r="E556" s="21"/>
    </row>
    <row r="557" spans="5:5" ht="15.75" customHeight="1">
      <c r="E557" s="21"/>
    </row>
    <row r="558" spans="5:5" ht="15.75" customHeight="1">
      <c r="E558" s="21"/>
    </row>
    <row r="559" spans="5:5" ht="15.75" customHeight="1">
      <c r="E559" s="21"/>
    </row>
    <row r="560" spans="5:5" ht="15.75" customHeight="1">
      <c r="E560" s="21"/>
    </row>
    <row r="561" spans="5:5" ht="15.75" customHeight="1">
      <c r="E561" s="21"/>
    </row>
    <row r="562" spans="5:5" ht="15.75" customHeight="1">
      <c r="E562" s="21"/>
    </row>
    <row r="563" spans="5:5" ht="15.75" customHeight="1">
      <c r="E563" s="21"/>
    </row>
    <row r="564" spans="5:5" ht="15.75" customHeight="1">
      <c r="E564" s="21"/>
    </row>
    <row r="565" spans="5:5" ht="15.75" customHeight="1">
      <c r="E565" s="21"/>
    </row>
    <row r="566" spans="5:5" ht="15.75" customHeight="1">
      <c r="E566" s="21"/>
    </row>
    <row r="567" spans="5:5" ht="15.75" customHeight="1">
      <c r="E567" s="21"/>
    </row>
    <row r="568" spans="5:5" ht="15.75" customHeight="1">
      <c r="E568" s="21"/>
    </row>
    <row r="569" spans="5:5" ht="15.75" customHeight="1">
      <c r="E569" s="21"/>
    </row>
    <row r="570" spans="5:5" ht="15.75" customHeight="1">
      <c r="E570" s="21"/>
    </row>
    <row r="571" spans="5:5" ht="15.75" customHeight="1">
      <c r="E571" s="21"/>
    </row>
    <row r="572" spans="5:5" ht="15.75" customHeight="1">
      <c r="E572" s="21"/>
    </row>
    <row r="573" spans="5:5" ht="15.75" customHeight="1">
      <c r="E573" s="21"/>
    </row>
    <row r="574" spans="5:5" ht="15.75" customHeight="1">
      <c r="E574" s="21"/>
    </row>
    <row r="575" spans="5:5" ht="15.75" customHeight="1">
      <c r="E575" s="21"/>
    </row>
    <row r="576" spans="5:5" ht="15.75" customHeight="1">
      <c r="E576" s="21"/>
    </row>
    <row r="577" spans="5:5" ht="15.75" customHeight="1">
      <c r="E577" s="21"/>
    </row>
    <row r="578" spans="5:5" ht="15.75" customHeight="1">
      <c r="E578" s="21"/>
    </row>
    <row r="579" spans="5:5" ht="15.75" customHeight="1">
      <c r="E579" s="21"/>
    </row>
    <row r="580" spans="5:5" ht="15.75" customHeight="1">
      <c r="E580" s="21"/>
    </row>
    <row r="581" spans="5:5" ht="15.75" customHeight="1">
      <c r="E581" s="21"/>
    </row>
    <row r="582" spans="5:5" ht="15.75" customHeight="1">
      <c r="E582" s="21"/>
    </row>
    <row r="583" spans="5:5" ht="15.75" customHeight="1">
      <c r="E583" s="21"/>
    </row>
    <row r="584" spans="5:5" ht="15.75" customHeight="1">
      <c r="E584" s="21"/>
    </row>
    <row r="585" spans="5:5" ht="15.75" customHeight="1">
      <c r="E585" s="21"/>
    </row>
    <row r="586" spans="5:5" ht="15.75" customHeight="1">
      <c r="E586" s="21"/>
    </row>
    <row r="587" spans="5:5" ht="15.75" customHeight="1">
      <c r="E587" s="21"/>
    </row>
    <row r="588" spans="5:5" ht="15.75" customHeight="1">
      <c r="E588" s="21"/>
    </row>
    <row r="589" spans="5:5" ht="15.75" customHeight="1">
      <c r="E589" s="21"/>
    </row>
    <row r="590" spans="5:5" ht="15.75" customHeight="1">
      <c r="E590" s="21"/>
    </row>
    <row r="591" spans="5:5" ht="15.75" customHeight="1">
      <c r="E591" s="21"/>
    </row>
    <row r="592" spans="5:5" ht="15.75" customHeight="1">
      <c r="E592" s="21"/>
    </row>
    <row r="593" spans="5:5" ht="15.75" customHeight="1">
      <c r="E593" s="21"/>
    </row>
    <row r="594" spans="5:5" ht="15.75" customHeight="1">
      <c r="E594" s="21"/>
    </row>
    <row r="595" spans="5:5" ht="15.75" customHeight="1">
      <c r="E595" s="21"/>
    </row>
    <row r="596" spans="5:5" ht="15.75" customHeight="1">
      <c r="E596" s="21"/>
    </row>
    <row r="597" spans="5:5" ht="15.75" customHeight="1">
      <c r="E597" s="21"/>
    </row>
    <row r="598" spans="5:5" ht="15.75" customHeight="1">
      <c r="E598" s="21"/>
    </row>
    <row r="599" spans="5:5" ht="15.75" customHeight="1">
      <c r="E599" s="21"/>
    </row>
    <row r="600" spans="5:5" ht="15.75" customHeight="1">
      <c r="E600" s="21"/>
    </row>
    <row r="601" spans="5:5" ht="15.75" customHeight="1">
      <c r="E601" s="21"/>
    </row>
    <row r="602" spans="5:5" ht="15.75" customHeight="1">
      <c r="E602" s="21"/>
    </row>
    <row r="603" spans="5:5" ht="15.75" customHeight="1">
      <c r="E603" s="21"/>
    </row>
    <row r="604" spans="5:5" ht="15.75" customHeight="1">
      <c r="E604" s="21"/>
    </row>
    <row r="605" spans="5:5" ht="15.75" customHeight="1">
      <c r="E605" s="21"/>
    </row>
    <row r="606" spans="5:5" ht="15.75" customHeight="1">
      <c r="E606" s="21"/>
    </row>
    <row r="607" spans="5:5" ht="15.75" customHeight="1">
      <c r="E607" s="21"/>
    </row>
    <row r="608" spans="5:5" ht="15.75" customHeight="1">
      <c r="E608" s="21"/>
    </row>
    <row r="609" spans="5:5" ht="15.75" customHeight="1">
      <c r="E609" s="21"/>
    </row>
    <row r="610" spans="5:5" ht="15.75" customHeight="1">
      <c r="E610" s="21"/>
    </row>
    <row r="611" spans="5:5" ht="15.75" customHeight="1">
      <c r="E611" s="21"/>
    </row>
    <row r="612" spans="5:5" ht="15.75" customHeight="1">
      <c r="E612" s="21"/>
    </row>
    <row r="613" spans="5:5" ht="15.75" customHeight="1">
      <c r="E613" s="21"/>
    </row>
    <row r="614" spans="5:5" ht="15.75" customHeight="1">
      <c r="E614" s="21"/>
    </row>
    <row r="615" spans="5:5" ht="15.75" customHeight="1">
      <c r="E615" s="21"/>
    </row>
    <row r="616" spans="5:5" ht="15.75" customHeight="1">
      <c r="E616" s="21"/>
    </row>
    <row r="617" spans="5:5" ht="15.75" customHeight="1">
      <c r="E617" s="21"/>
    </row>
    <row r="618" spans="5:5" ht="15.75" customHeight="1">
      <c r="E618" s="21"/>
    </row>
    <row r="619" spans="5:5" ht="15.75" customHeight="1">
      <c r="E619" s="21"/>
    </row>
    <row r="620" spans="5:5" ht="15.75" customHeight="1">
      <c r="E620" s="21"/>
    </row>
    <row r="621" spans="5:5" ht="15.75" customHeight="1">
      <c r="E621" s="21"/>
    </row>
    <row r="622" spans="5:5" ht="15.75" customHeight="1">
      <c r="E622" s="21"/>
    </row>
    <row r="623" spans="5:5" ht="15.75" customHeight="1">
      <c r="E623" s="21"/>
    </row>
    <row r="624" spans="5:5" ht="15.75" customHeight="1">
      <c r="E624" s="21"/>
    </row>
    <row r="625" spans="5:5" ht="15.75" customHeight="1">
      <c r="E625" s="21"/>
    </row>
    <row r="626" spans="5:5" ht="15.75" customHeight="1">
      <c r="E626" s="21"/>
    </row>
    <row r="627" spans="5:5" ht="15.75" customHeight="1">
      <c r="E627" s="21"/>
    </row>
    <row r="628" spans="5:5" ht="15.75" customHeight="1">
      <c r="E628" s="21"/>
    </row>
    <row r="629" spans="5:5" ht="15.75" customHeight="1">
      <c r="E629" s="21"/>
    </row>
    <row r="630" spans="5:5" ht="15.75" customHeight="1">
      <c r="E630" s="21"/>
    </row>
    <row r="631" spans="5:5" ht="15.75" customHeight="1">
      <c r="E631" s="21"/>
    </row>
    <row r="632" spans="5:5" ht="15.75" customHeight="1">
      <c r="E632" s="21"/>
    </row>
    <row r="633" spans="5:5" ht="15.75" customHeight="1">
      <c r="E633" s="21"/>
    </row>
    <row r="634" spans="5:5" ht="15.75" customHeight="1">
      <c r="E634" s="21"/>
    </row>
    <row r="635" spans="5:5" ht="15.75" customHeight="1">
      <c r="E635" s="21"/>
    </row>
    <row r="636" spans="5:5" ht="15.75" customHeight="1">
      <c r="E636" s="21"/>
    </row>
    <row r="637" spans="5:5" ht="15.75" customHeight="1">
      <c r="E637" s="21"/>
    </row>
    <row r="638" spans="5:5" ht="15.75" customHeight="1">
      <c r="E638" s="21"/>
    </row>
    <row r="639" spans="5:5" ht="15.75" customHeight="1">
      <c r="E639" s="21"/>
    </row>
    <row r="640" spans="5:5" ht="15.75" customHeight="1">
      <c r="E640" s="21"/>
    </row>
    <row r="641" spans="5:5" ht="15.75" customHeight="1">
      <c r="E641" s="21"/>
    </row>
    <row r="642" spans="5:5" ht="15.75" customHeight="1">
      <c r="E642" s="21"/>
    </row>
    <row r="643" spans="5:5" ht="15.75" customHeight="1">
      <c r="E643" s="21"/>
    </row>
    <row r="644" spans="5:5" ht="15.75" customHeight="1">
      <c r="E644" s="21"/>
    </row>
    <row r="645" spans="5:5" ht="15.75" customHeight="1">
      <c r="E645" s="21"/>
    </row>
    <row r="646" spans="5:5" ht="15.75" customHeight="1">
      <c r="E646" s="21"/>
    </row>
    <row r="647" spans="5:5" ht="15.75" customHeight="1">
      <c r="E647" s="21"/>
    </row>
    <row r="648" spans="5:5" ht="15.75" customHeight="1">
      <c r="E648" s="21"/>
    </row>
    <row r="649" spans="5:5" ht="15.75" customHeight="1">
      <c r="E649" s="21"/>
    </row>
    <row r="650" spans="5:5" ht="15.75" customHeight="1">
      <c r="E650" s="21"/>
    </row>
    <row r="651" spans="5:5" ht="15.75" customHeight="1">
      <c r="E651" s="21"/>
    </row>
    <row r="652" spans="5:5" ht="15.75" customHeight="1">
      <c r="E652" s="21"/>
    </row>
    <row r="653" spans="5:5" ht="15.75" customHeight="1">
      <c r="E653" s="21"/>
    </row>
    <row r="654" spans="5:5" ht="15.75" customHeight="1">
      <c r="E654" s="21"/>
    </row>
    <row r="655" spans="5:5" ht="15.75" customHeight="1">
      <c r="E655" s="21"/>
    </row>
    <row r="656" spans="5:5" ht="15.75" customHeight="1">
      <c r="E656" s="21"/>
    </row>
    <row r="657" spans="5:5" ht="15.75" customHeight="1">
      <c r="E657" s="21"/>
    </row>
    <row r="658" spans="5:5" ht="15.75" customHeight="1">
      <c r="E658" s="21"/>
    </row>
    <row r="659" spans="5:5" ht="15.75" customHeight="1">
      <c r="E659" s="21"/>
    </row>
    <row r="660" spans="5:5" ht="15.75" customHeight="1">
      <c r="E660" s="21"/>
    </row>
    <row r="661" spans="5:5" ht="15.75" customHeight="1">
      <c r="E661" s="21"/>
    </row>
    <row r="662" spans="5:5" ht="15.75" customHeight="1">
      <c r="E662" s="21"/>
    </row>
    <row r="663" spans="5:5" ht="15.75" customHeight="1">
      <c r="E663" s="21"/>
    </row>
    <row r="664" spans="5:5" ht="15.75" customHeight="1">
      <c r="E664" s="21"/>
    </row>
    <row r="665" spans="5:5" ht="15.75" customHeight="1">
      <c r="E665" s="21"/>
    </row>
    <row r="666" spans="5:5" ht="15.75" customHeight="1">
      <c r="E666" s="21"/>
    </row>
    <row r="667" spans="5:5" ht="15.75" customHeight="1">
      <c r="E667" s="21"/>
    </row>
    <row r="668" spans="5:5" ht="15.75" customHeight="1">
      <c r="E668" s="21"/>
    </row>
    <row r="669" spans="5:5" ht="15.75" customHeight="1">
      <c r="E669" s="21"/>
    </row>
    <row r="670" spans="5:5" ht="15.75" customHeight="1">
      <c r="E670" s="21"/>
    </row>
    <row r="671" spans="5:5" ht="15.75" customHeight="1">
      <c r="E671" s="21"/>
    </row>
    <row r="672" spans="5:5" ht="15.75" customHeight="1">
      <c r="E672" s="21"/>
    </row>
    <row r="673" spans="5:5" ht="15.75" customHeight="1">
      <c r="E673" s="21"/>
    </row>
    <row r="674" spans="5:5" ht="15.75" customHeight="1">
      <c r="E674" s="21"/>
    </row>
    <row r="675" spans="5:5" ht="15.75" customHeight="1">
      <c r="E675" s="21"/>
    </row>
    <row r="676" spans="5:5" ht="15.75" customHeight="1">
      <c r="E676" s="21"/>
    </row>
    <row r="677" spans="5:5" ht="15.75" customHeight="1">
      <c r="E677" s="21"/>
    </row>
    <row r="678" spans="5:5" ht="15.75" customHeight="1">
      <c r="E678" s="21"/>
    </row>
    <row r="679" spans="5:5" ht="15.75" customHeight="1">
      <c r="E679" s="21"/>
    </row>
    <row r="680" spans="5:5" ht="15.75" customHeight="1">
      <c r="E680" s="21"/>
    </row>
    <row r="681" spans="5:5" ht="15.75" customHeight="1">
      <c r="E681" s="21"/>
    </row>
    <row r="682" spans="5:5" ht="15.75" customHeight="1">
      <c r="E682" s="21"/>
    </row>
    <row r="683" spans="5:5" ht="15.75" customHeight="1">
      <c r="E683" s="21"/>
    </row>
    <row r="684" spans="5:5" ht="15.75" customHeight="1">
      <c r="E684" s="21"/>
    </row>
    <row r="685" spans="5:5" ht="15.75" customHeight="1">
      <c r="E685" s="21"/>
    </row>
    <row r="686" spans="5:5" ht="15.75" customHeight="1">
      <c r="E686" s="21"/>
    </row>
    <row r="687" spans="5:5" ht="15.75" customHeight="1">
      <c r="E687" s="21"/>
    </row>
    <row r="688" spans="5:5" ht="15.75" customHeight="1">
      <c r="E688" s="21"/>
    </row>
    <row r="689" spans="5:5" ht="15.75" customHeight="1">
      <c r="E689" s="21"/>
    </row>
    <row r="690" spans="5:5" ht="15.75" customHeight="1">
      <c r="E690" s="21"/>
    </row>
    <row r="691" spans="5:5" ht="15.75" customHeight="1">
      <c r="E691" s="21"/>
    </row>
    <row r="692" spans="5:5" ht="15.75" customHeight="1">
      <c r="E692" s="21"/>
    </row>
    <row r="693" spans="5:5" ht="15.75" customHeight="1">
      <c r="E693" s="21"/>
    </row>
    <row r="694" spans="5:5" ht="15.75" customHeight="1">
      <c r="E694" s="21"/>
    </row>
    <row r="695" spans="5:5" ht="15.75" customHeight="1">
      <c r="E695" s="21"/>
    </row>
    <row r="696" spans="5:5" ht="15.75" customHeight="1">
      <c r="E696" s="21"/>
    </row>
    <row r="697" spans="5:5" ht="15.75" customHeight="1">
      <c r="E697" s="21"/>
    </row>
    <row r="698" spans="5:5" ht="15.75" customHeight="1">
      <c r="E698" s="21"/>
    </row>
    <row r="699" spans="5:5" ht="15.75" customHeight="1">
      <c r="E699" s="21"/>
    </row>
    <row r="700" spans="5:5" ht="15.75" customHeight="1">
      <c r="E700" s="21"/>
    </row>
    <row r="701" spans="5:5" ht="15.75" customHeight="1">
      <c r="E701" s="21"/>
    </row>
    <row r="702" spans="5:5" ht="15.75" customHeight="1">
      <c r="E702" s="21"/>
    </row>
    <row r="703" spans="5:5" ht="15.75" customHeight="1">
      <c r="E703" s="21"/>
    </row>
    <row r="704" spans="5:5" ht="15.75" customHeight="1">
      <c r="E704" s="21"/>
    </row>
    <row r="705" spans="5:5" ht="15.75" customHeight="1">
      <c r="E705" s="21"/>
    </row>
    <row r="706" spans="5:5" ht="15.75" customHeight="1">
      <c r="E706" s="21"/>
    </row>
    <row r="707" spans="5:5" ht="15.75" customHeight="1">
      <c r="E707" s="21"/>
    </row>
    <row r="708" spans="5:5" ht="15.75" customHeight="1">
      <c r="E708" s="21"/>
    </row>
    <row r="709" spans="5:5" ht="15.75" customHeight="1">
      <c r="E709" s="21"/>
    </row>
    <row r="710" spans="5:5" ht="15.75" customHeight="1">
      <c r="E710" s="21"/>
    </row>
    <row r="711" spans="5:5" ht="15.75" customHeight="1">
      <c r="E711" s="21"/>
    </row>
    <row r="712" spans="5:5" ht="15.75" customHeight="1">
      <c r="E712" s="21"/>
    </row>
    <row r="713" spans="5:5" ht="15.75" customHeight="1">
      <c r="E713" s="21"/>
    </row>
    <row r="714" spans="5:5" ht="15.75" customHeight="1">
      <c r="E714" s="21"/>
    </row>
    <row r="715" spans="5:5" ht="15.75" customHeight="1">
      <c r="E715" s="21"/>
    </row>
    <row r="716" spans="5:5" ht="15.75" customHeight="1">
      <c r="E716" s="21"/>
    </row>
    <row r="717" spans="5:5" ht="15.75" customHeight="1">
      <c r="E717" s="21"/>
    </row>
    <row r="718" spans="5:5" ht="15.75" customHeight="1">
      <c r="E718" s="21"/>
    </row>
    <row r="719" spans="5:5" ht="15.75" customHeight="1">
      <c r="E719" s="21"/>
    </row>
    <row r="720" spans="5:5" ht="15.75" customHeight="1">
      <c r="E720" s="21"/>
    </row>
    <row r="721" spans="5:5" ht="15.75" customHeight="1">
      <c r="E721" s="21"/>
    </row>
    <row r="722" spans="5:5" ht="15.75" customHeight="1">
      <c r="E722" s="21"/>
    </row>
    <row r="723" spans="5:5" ht="15.75" customHeight="1">
      <c r="E723" s="21"/>
    </row>
    <row r="724" spans="5:5" ht="15.75" customHeight="1">
      <c r="E724" s="21"/>
    </row>
    <row r="725" spans="5:5" ht="15.75" customHeight="1">
      <c r="E725" s="21"/>
    </row>
    <row r="726" spans="5:5" ht="15.75" customHeight="1">
      <c r="E726" s="21"/>
    </row>
    <row r="727" spans="5:5" ht="15.75" customHeight="1">
      <c r="E727" s="21"/>
    </row>
    <row r="728" spans="5:5" ht="15.75" customHeight="1">
      <c r="E728" s="21"/>
    </row>
    <row r="729" spans="5:5" ht="15.75" customHeight="1">
      <c r="E729" s="21"/>
    </row>
    <row r="730" spans="5:5" ht="15.75" customHeight="1">
      <c r="E730" s="21"/>
    </row>
    <row r="731" spans="5:5" ht="15.75" customHeight="1">
      <c r="E731" s="21"/>
    </row>
    <row r="732" spans="5:5" ht="15.75" customHeight="1">
      <c r="E732" s="21"/>
    </row>
    <row r="733" spans="5:5" ht="15.75" customHeight="1">
      <c r="E733" s="21"/>
    </row>
    <row r="734" spans="5:5" ht="15.75" customHeight="1">
      <c r="E734" s="21"/>
    </row>
    <row r="735" spans="5:5" ht="15.75" customHeight="1">
      <c r="E735" s="21"/>
    </row>
    <row r="736" spans="5:5" ht="15.75" customHeight="1">
      <c r="E736" s="21"/>
    </row>
    <row r="737" spans="5:5" ht="15.75" customHeight="1">
      <c r="E737" s="21"/>
    </row>
    <row r="738" spans="5:5" ht="15.75" customHeight="1">
      <c r="E738" s="21"/>
    </row>
    <row r="739" spans="5:5" ht="15.75" customHeight="1">
      <c r="E739" s="21"/>
    </row>
    <row r="740" spans="5:5" ht="15.75" customHeight="1">
      <c r="E740" s="21"/>
    </row>
    <row r="741" spans="5:5" ht="15.75" customHeight="1">
      <c r="E741" s="21"/>
    </row>
    <row r="742" spans="5:5" ht="15.75" customHeight="1">
      <c r="E742" s="21"/>
    </row>
    <row r="743" spans="5:5" ht="15.75" customHeight="1">
      <c r="E743" s="21"/>
    </row>
    <row r="744" spans="5:5" ht="15.75" customHeight="1">
      <c r="E744" s="21"/>
    </row>
    <row r="745" spans="5:5" ht="15.75" customHeight="1">
      <c r="E745" s="21"/>
    </row>
    <row r="746" spans="5:5" ht="15.75" customHeight="1">
      <c r="E746" s="21"/>
    </row>
    <row r="747" spans="5:5" ht="15.75" customHeight="1">
      <c r="E747" s="21"/>
    </row>
    <row r="748" spans="5:5" ht="15.75" customHeight="1">
      <c r="E748" s="21"/>
    </row>
    <row r="749" spans="5:5" ht="15.75" customHeight="1">
      <c r="E749" s="21"/>
    </row>
    <row r="750" spans="5:5" ht="15.75" customHeight="1">
      <c r="E750" s="21"/>
    </row>
    <row r="751" spans="5:5" ht="15.75" customHeight="1">
      <c r="E751" s="21"/>
    </row>
    <row r="752" spans="5:5" ht="15.75" customHeight="1">
      <c r="E752" s="21"/>
    </row>
    <row r="753" spans="5:5" ht="15.75" customHeight="1">
      <c r="E753" s="21"/>
    </row>
    <row r="754" spans="5:5" ht="15.75" customHeight="1">
      <c r="E754" s="21"/>
    </row>
    <row r="755" spans="5:5" ht="15.75" customHeight="1">
      <c r="E755" s="21"/>
    </row>
    <row r="756" spans="5:5" ht="15.75" customHeight="1">
      <c r="E756" s="21"/>
    </row>
    <row r="757" spans="5:5" ht="15.75" customHeight="1">
      <c r="E757" s="21"/>
    </row>
    <row r="758" spans="5:5" ht="15.75" customHeight="1">
      <c r="E758" s="21"/>
    </row>
    <row r="759" spans="5:5" ht="15.75" customHeight="1">
      <c r="E759" s="21"/>
    </row>
    <row r="760" spans="5:5" ht="15.75" customHeight="1">
      <c r="E760" s="21"/>
    </row>
    <row r="761" spans="5:5" ht="15.75" customHeight="1">
      <c r="E761" s="21"/>
    </row>
    <row r="762" spans="5:5" ht="15.75" customHeight="1">
      <c r="E762" s="21"/>
    </row>
    <row r="763" spans="5:5" ht="15.75" customHeight="1">
      <c r="E763" s="21"/>
    </row>
    <row r="764" spans="5:5" ht="15.75" customHeight="1">
      <c r="E764" s="21"/>
    </row>
    <row r="765" spans="5:5" ht="15.75" customHeight="1">
      <c r="E765" s="21"/>
    </row>
    <row r="766" spans="5:5" ht="15.75" customHeight="1">
      <c r="E766" s="21"/>
    </row>
    <row r="767" spans="5:5" ht="15.75" customHeight="1">
      <c r="E767" s="21"/>
    </row>
    <row r="768" spans="5:5" ht="15.75" customHeight="1">
      <c r="E768" s="21"/>
    </row>
    <row r="769" spans="5:5" ht="15.75" customHeight="1">
      <c r="E769" s="21"/>
    </row>
    <row r="770" spans="5:5" ht="15.75" customHeight="1">
      <c r="E770" s="21"/>
    </row>
    <row r="771" spans="5:5" ht="15.75" customHeight="1">
      <c r="E771" s="21"/>
    </row>
    <row r="772" spans="5:5" ht="15.75" customHeight="1">
      <c r="E772" s="21"/>
    </row>
    <row r="773" spans="5:5" ht="15.75" customHeight="1">
      <c r="E773" s="21"/>
    </row>
    <row r="774" spans="5:5" ht="15.75" customHeight="1">
      <c r="E774" s="21"/>
    </row>
    <row r="775" spans="5:5" ht="15.75" customHeight="1">
      <c r="E775" s="21"/>
    </row>
    <row r="776" spans="5:5" ht="15.75" customHeight="1">
      <c r="E776" s="21"/>
    </row>
    <row r="777" spans="5:5" ht="15.75" customHeight="1">
      <c r="E777" s="21"/>
    </row>
    <row r="778" spans="5:5" ht="15.75" customHeight="1">
      <c r="E778" s="21"/>
    </row>
    <row r="779" spans="5:5" ht="15.75" customHeight="1">
      <c r="E779" s="21"/>
    </row>
    <row r="780" spans="5:5" ht="15.75" customHeight="1">
      <c r="E780" s="21"/>
    </row>
    <row r="781" spans="5:5" ht="15.75" customHeight="1">
      <c r="E781" s="21"/>
    </row>
    <row r="782" spans="5:5" ht="15.75" customHeight="1">
      <c r="E782" s="21"/>
    </row>
    <row r="783" spans="5:5" ht="15.75" customHeight="1">
      <c r="E783" s="21"/>
    </row>
    <row r="784" spans="5:5" ht="15.75" customHeight="1">
      <c r="E784" s="21"/>
    </row>
    <row r="785" spans="5:5" ht="15.75" customHeight="1">
      <c r="E785" s="21"/>
    </row>
    <row r="786" spans="5:5" ht="15.75" customHeight="1">
      <c r="E786" s="21"/>
    </row>
    <row r="787" spans="5:5" ht="15.75" customHeight="1">
      <c r="E787" s="21"/>
    </row>
    <row r="788" spans="5:5" ht="15.75" customHeight="1">
      <c r="E788" s="21"/>
    </row>
    <row r="789" spans="5:5" ht="15.75" customHeight="1">
      <c r="E789" s="21"/>
    </row>
    <row r="790" spans="5:5" ht="15.75" customHeight="1">
      <c r="E790" s="21"/>
    </row>
    <row r="791" spans="5:5" ht="15.75" customHeight="1">
      <c r="E791" s="21"/>
    </row>
    <row r="792" spans="5:5" ht="15.75" customHeight="1">
      <c r="E792" s="21"/>
    </row>
    <row r="793" spans="5:5" ht="15.75" customHeight="1">
      <c r="E793" s="21"/>
    </row>
    <row r="794" spans="5:5" ht="15.75" customHeight="1">
      <c r="E794" s="21"/>
    </row>
    <row r="795" spans="5:5" ht="15.75" customHeight="1">
      <c r="E795" s="21"/>
    </row>
    <row r="796" spans="5:5" ht="15.75" customHeight="1">
      <c r="E796" s="21"/>
    </row>
    <row r="797" spans="5:5" ht="15.75" customHeight="1">
      <c r="E797" s="21"/>
    </row>
    <row r="798" spans="5:5" ht="15.75" customHeight="1">
      <c r="E798" s="21"/>
    </row>
    <row r="799" spans="5:5" ht="15.75" customHeight="1">
      <c r="E799" s="21"/>
    </row>
    <row r="800" spans="5:5" ht="15.75" customHeight="1">
      <c r="E800" s="21"/>
    </row>
    <row r="801" spans="5:5" ht="15.75" customHeight="1">
      <c r="E801" s="21"/>
    </row>
    <row r="802" spans="5:5" ht="15.75" customHeight="1">
      <c r="E802" s="21"/>
    </row>
    <row r="803" spans="5:5" ht="15.75" customHeight="1">
      <c r="E803" s="21"/>
    </row>
    <row r="804" spans="5:5" ht="15.75" customHeight="1">
      <c r="E804" s="21"/>
    </row>
    <row r="805" spans="5:5" ht="15.75" customHeight="1">
      <c r="E805" s="21"/>
    </row>
    <row r="806" spans="5:5" ht="15.75" customHeight="1">
      <c r="E806" s="21"/>
    </row>
    <row r="807" spans="5:5" ht="15.75" customHeight="1">
      <c r="E807" s="21"/>
    </row>
    <row r="808" spans="5:5" ht="15.75" customHeight="1">
      <c r="E808" s="21"/>
    </row>
    <row r="809" spans="5:5" ht="15.75" customHeight="1">
      <c r="E809" s="21"/>
    </row>
    <row r="810" spans="5:5" ht="15.75" customHeight="1">
      <c r="E810" s="21"/>
    </row>
    <row r="811" spans="5:5" ht="15.75" customHeight="1">
      <c r="E811" s="21"/>
    </row>
    <row r="812" spans="5:5" ht="15.75" customHeight="1">
      <c r="E812" s="21"/>
    </row>
    <row r="813" spans="5:5" ht="15.75" customHeight="1">
      <c r="E813" s="21"/>
    </row>
    <row r="814" spans="5:5" ht="15.75" customHeight="1">
      <c r="E814" s="21"/>
    </row>
    <row r="815" spans="5:5" ht="15.75" customHeight="1">
      <c r="E815" s="21"/>
    </row>
    <row r="816" spans="5:5" ht="15.75" customHeight="1">
      <c r="E816" s="21"/>
    </row>
    <row r="817" spans="5:5" ht="15.75" customHeight="1">
      <c r="E817" s="21"/>
    </row>
    <row r="818" spans="5:5" ht="15.75" customHeight="1">
      <c r="E818" s="21"/>
    </row>
    <row r="819" spans="5:5" ht="15.75" customHeight="1">
      <c r="E819" s="21"/>
    </row>
    <row r="820" spans="5:5" ht="15.75" customHeight="1">
      <c r="E820" s="21"/>
    </row>
    <row r="821" spans="5:5" ht="15.75" customHeight="1">
      <c r="E821" s="21"/>
    </row>
    <row r="822" spans="5:5" ht="15.75" customHeight="1">
      <c r="E822" s="21"/>
    </row>
    <row r="823" spans="5:5" ht="15.75" customHeight="1">
      <c r="E823" s="21"/>
    </row>
    <row r="824" spans="5:5" ht="15.75" customHeight="1">
      <c r="E824" s="21"/>
    </row>
    <row r="825" spans="5:5" ht="15.75" customHeight="1">
      <c r="E825" s="21"/>
    </row>
    <row r="826" spans="5:5" ht="15.75" customHeight="1">
      <c r="E826" s="21"/>
    </row>
    <row r="827" spans="5:5" ht="15.75" customHeight="1">
      <c r="E827" s="21"/>
    </row>
    <row r="828" spans="5:5" ht="15.75" customHeight="1">
      <c r="E828" s="21"/>
    </row>
    <row r="829" spans="5:5" ht="15.75" customHeight="1">
      <c r="E829" s="21"/>
    </row>
    <row r="830" spans="5:5" ht="15.75" customHeight="1">
      <c r="E830" s="21"/>
    </row>
    <row r="831" spans="5:5" ht="15.75" customHeight="1">
      <c r="E831" s="21"/>
    </row>
    <row r="832" spans="5:5" ht="15.75" customHeight="1">
      <c r="E832" s="21"/>
    </row>
    <row r="833" spans="5:5" ht="15.75" customHeight="1">
      <c r="E833" s="21"/>
    </row>
    <row r="834" spans="5:5" ht="15.75" customHeight="1">
      <c r="E834" s="21"/>
    </row>
    <row r="835" spans="5:5" ht="15.75" customHeight="1">
      <c r="E835" s="21"/>
    </row>
    <row r="836" spans="5:5" ht="15.75" customHeight="1">
      <c r="E836" s="21"/>
    </row>
    <row r="837" spans="5:5" ht="15.75" customHeight="1">
      <c r="E837" s="21"/>
    </row>
    <row r="838" spans="5:5" ht="15.75" customHeight="1">
      <c r="E838" s="21"/>
    </row>
    <row r="839" spans="5:5" ht="15.75" customHeight="1">
      <c r="E839" s="21"/>
    </row>
    <row r="840" spans="5:5" ht="15.75" customHeight="1">
      <c r="E840" s="21"/>
    </row>
    <row r="841" spans="5:5" ht="15.75" customHeight="1">
      <c r="E841" s="21"/>
    </row>
    <row r="842" spans="5:5" ht="15.75" customHeight="1">
      <c r="E842" s="21"/>
    </row>
    <row r="843" spans="5:5" ht="15.75" customHeight="1">
      <c r="E843" s="21"/>
    </row>
    <row r="844" spans="5:5" ht="15.75" customHeight="1">
      <c r="E844" s="21"/>
    </row>
    <row r="845" spans="5:5" ht="15.75" customHeight="1">
      <c r="E845" s="21"/>
    </row>
    <row r="846" spans="5:5" ht="15.75" customHeight="1">
      <c r="E846" s="21"/>
    </row>
    <row r="847" spans="5:5" ht="15.75" customHeight="1">
      <c r="E847" s="21"/>
    </row>
    <row r="848" spans="5:5" ht="15.75" customHeight="1">
      <c r="E848" s="21"/>
    </row>
    <row r="849" spans="5:5" ht="15.75" customHeight="1">
      <c r="E849" s="21"/>
    </row>
    <row r="850" spans="5:5" ht="15.75" customHeight="1">
      <c r="E850" s="21"/>
    </row>
    <row r="851" spans="5:5" ht="15.75" customHeight="1">
      <c r="E851" s="21"/>
    </row>
    <row r="852" spans="5:5" ht="15.75" customHeight="1">
      <c r="E852" s="21"/>
    </row>
    <row r="853" spans="5:5" ht="15.75" customHeight="1">
      <c r="E853" s="21"/>
    </row>
    <row r="854" spans="5:5" ht="15.75" customHeight="1">
      <c r="E854" s="21"/>
    </row>
    <row r="855" spans="5:5" ht="15.75" customHeight="1">
      <c r="E855" s="21"/>
    </row>
    <row r="856" spans="5:5" ht="15.75" customHeight="1">
      <c r="E856" s="21"/>
    </row>
    <row r="857" spans="5:5" ht="15.75" customHeight="1">
      <c r="E857" s="21"/>
    </row>
    <row r="858" spans="5:5" ht="15.75" customHeight="1">
      <c r="E858" s="21"/>
    </row>
    <row r="859" spans="5:5" ht="15.75" customHeight="1">
      <c r="E859" s="21"/>
    </row>
    <row r="860" spans="5:5" ht="15.75" customHeight="1">
      <c r="E860" s="21"/>
    </row>
    <row r="861" spans="5:5" ht="15.75" customHeight="1">
      <c r="E861" s="21"/>
    </row>
    <row r="862" spans="5:5" ht="15.75" customHeight="1">
      <c r="E862" s="21"/>
    </row>
    <row r="863" spans="5:5" ht="15.75" customHeight="1">
      <c r="E863" s="21"/>
    </row>
    <row r="864" spans="5:5" ht="15.75" customHeight="1">
      <c r="E864" s="21"/>
    </row>
    <row r="865" spans="5:5" ht="15.75" customHeight="1">
      <c r="E865" s="21"/>
    </row>
    <row r="866" spans="5:5" ht="15.75" customHeight="1">
      <c r="E866" s="21"/>
    </row>
    <row r="867" spans="5:5" ht="15.75" customHeight="1">
      <c r="E867" s="21"/>
    </row>
    <row r="868" spans="5:5" ht="15.75" customHeight="1">
      <c r="E868" s="21"/>
    </row>
    <row r="869" spans="5:5" ht="15.75" customHeight="1">
      <c r="E869" s="21"/>
    </row>
    <row r="870" spans="5:5" ht="15.75" customHeight="1">
      <c r="E870" s="21"/>
    </row>
    <row r="871" spans="5:5" ht="15.75" customHeight="1">
      <c r="E871" s="21"/>
    </row>
    <row r="872" spans="5:5" ht="15.75" customHeight="1">
      <c r="E872" s="21"/>
    </row>
    <row r="873" spans="5:5" ht="15.75" customHeight="1">
      <c r="E873" s="21"/>
    </row>
    <row r="874" spans="5:5" ht="15.75" customHeight="1">
      <c r="E874" s="21"/>
    </row>
    <row r="875" spans="5:5" ht="15.75" customHeight="1">
      <c r="E875" s="21"/>
    </row>
    <row r="876" spans="5:5" ht="15.75" customHeight="1">
      <c r="E876" s="21"/>
    </row>
    <row r="877" spans="5:5" ht="15.75" customHeight="1">
      <c r="E877" s="21"/>
    </row>
    <row r="878" spans="5:5" ht="15.75" customHeight="1">
      <c r="E878" s="21"/>
    </row>
    <row r="879" spans="5:5" ht="15.75" customHeight="1">
      <c r="E879" s="21"/>
    </row>
    <row r="880" spans="5:5" ht="15.75" customHeight="1">
      <c r="E880" s="21"/>
    </row>
    <row r="881" spans="5:5" ht="15.75" customHeight="1">
      <c r="E881" s="21"/>
    </row>
    <row r="882" spans="5:5" ht="15.75" customHeight="1">
      <c r="E882" s="21"/>
    </row>
    <row r="883" spans="5:5" ht="15.75" customHeight="1">
      <c r="E883" s="21"/>
    </row>
    <row r="884" spans="5:5" ht="15.75" customHeight="1">
      <c r="E884" s="21"/>
    </row>
    <row r="885" spans="5:5" ht="15.75" customHeight="1">
      <c r="E885" s="21"/>
    </row>
    <row r="886" spans="5:5" ht="15.75" customHeight="1">
      <c r="E886" s="21"/>
    </row>
    <row r="887" spans="5:5" ht="15.75" customHeight="1">
      <c r="E887" s="21"/>
    </row>
    <row r="888" spans="5:5" ht="15.75" customHeight="1">
      <c r="E888" s="21"/>
    </row>
    <row r="889" spans="5:5" ht="15.75" customHeight="1">
      <c r="E889" s="21"/>
    </row>
    <row r="890" spans="5:5" ht="15.75" customHeight="1">
      <c r="E890" s="21"/>
    </row>
    <row r="891" spans="5:5" ht="15.75" customHeight="1">
      <c r="E891" s="21"/>
    </row>
    <row r="892" spans="5:5" ht="15.75" customHeight="1">
      <c r="E892" s="21"/>
    </row>
    <row r="893" spans="5:5" ht="15.75" customHeight="1">
      <c r="E893" s="21"/>
    </row>
    <row r="894" spans="5:5" ht="15.75" customHeight="1">
      <c r="E894" s="21"/>
    </row>
    <row r="895" spans="5:5" ht="15.75" customHeight="1">
      <c r="E895" s="21"/>
    </row>
    <row r="896" spans="5:5" ht="15.75" customHeight="1">
      <c r="E896" s="21"/>
    </row>
    <row r="897" spans="5:5" ht="15.75" customHeight="1">
      <c r="E897" s="21"/>
    </row>
    <row r="898" spans="5:5" ht="15.75" customHeight="1">
      <c r="E898" s="21"/>
    </row>
    <row r="899" spans="5:5" ht="15.75" customHeight="1">
      <c r="E899" s="21"/>
    </row>
    <row r="900" spans="5:5" ht="15.75" customHeight="1">
      <c r="E900" s="21"/>
    </row>
    <row r="901" spans="5:5" ht="15.75" customHeight="1">
      <c r="E901" s="21"/>
    </row>
    <row r="902" spans="5:5" ht="15.75" customHeight="1">
      <c r="E902" s="21"/>
    </row>
    <row r="903" spans="5:5" ht="15.75" customHeight="1">
      <c r="E903" s="21"/>
    </row>
    <row r="904" spans="5:5" ht="15.75" customHeight="1">
      <c r="E904" s="21"/>
    </row>
    <row r="905" spans="5:5" ht="15.75" customHeight="1">
      <c r="E905" s="21"/>
    </row>
    <row r="906" spans="5:5" ht="15.75" customHeight="1">
      <c r="E906" s="21"/>
    </row>
    <row r="907" spans="5:5" ht="15.75" customHeight="1">
      <c r="E907" s="21"/>
    </row>
    <row r="908" spans="5:5" ht="15.75" customHeight="1">
      <c r="E908" s="21"/>
    </row>
    <row r="909" spans="5:5" ht="15.75" customHeight="1">
      <c r="E909" s="21"/>
    </row>
    <row r="910" spans="5:5" ht="15.75" customHeight="1">
      <c r="E910" s="21"/>
    </row>
    <row r="911" spans="5:5" ht="15.75" customHeight="1">
      <c r="E911" s="21"/>
    </row>
    <row r="912" spans="5:5" ht="15.75" customHeight="1">
      <c r="E912" s="21"/>
    </row>
    <row r="913" spans="5:5" ht="15.75" customHeight="1">
      <c r="E913" s="21"/>
    </row>
    <row r="914" spans="5:5" ht="15.75" customHeight="1">
      <c r="E914" s="21"/>
    </row>
    <row r="915" spans="5:5" ht="15.75" customHeight="1">
      <c r="E915" s="21"/>
    </row>
    <row r="916" spans="5:5" ht="15.75" customHeight="1">
      <c r="E916" s="21"/>
    </row>
    <row r="917" spans="5:5" ht="15.75" customHeight="1">
      <c r="E917" s="21"/>
    </row>
    <row r="918" spans="5:5" ht="15.75" customHeight="1">
      <c r="E918" s="21"/>
    </row>
    <row r="919" spans="5:5" ht="15.75" customHeight="1">
      <c r="E919" s="21"/>
    </row>
    <row r="920" spans="5:5" ht="15.75" customHeight="1">
      <c r="E920" s="21"/>
    </row>
    <row r="921" spans="5:5" ht="15.75" customHeight="1">
      <c r="E921" s="21"/>
    </row>
    <row r="922" spans="5:5" ht="15.75" customHeight="1">
      <c r="E922" s="21"/>
    </row>
    <row r="923" spans="5:5" ht="15.75" customHeight="1">
      <c r="E923" s="21"/>
    </row>
    <row r="924" spans="5:5" ht="15.75" customHeight="1">
      <c r="E924" s="21"/>
    </row>
    <row r="925" spans="5:5" ht="15.75" customHeight="1">
      <c r="E925" s="21"/>
    </row>
    <row r="926" spans="5:5" ht="15.75" customHeight="1">
      <c r="E926" s="21"/>
    </row>
    <row r="927" spans="5:5" ht="15.75" customHeight="1">
      <c r="E927" s="21"/>
    </row>
    <row r="928" spans="5:5" ht="15.75" customHeight="1">
      <c r="E928" s="21"/>
    </row>
    <row r="929" spans="5:5" ht="15.75" customHeight="1">
      <c r="E929" s="21"/>
    </row>
    <row r="930" spans="5:5" ht="15.75" customHeight="1">
      <c r="E930" s="21"/>
    </row>
    <row r="931" spans="5:5" ht="15.75" customHeight="1">
      <c r="E931" s="21"/>
    </row>
    <row r="932" spans="5:5" ht="15.75" customHeight="1">
      <c r="E932" s="21"/>
    </row>
    <row r="933" spans="5:5" ht="15.75" customHeight="1">
      <c r="E933" s="21"/>
    </row>
    <row r="934" spans="5:5" ht="15.75" customHeight="1">
      <c r="E934" s="21"/>
    </row>
    <row r="935" spans="5:5" ht="15.75" customHeight="1">
      <c r="E935" s="21"/>
    </row>
    <row r="936" spans="5:5" ht="15.75" customHeight="1">
      <c r="E936" s="21"/>
    </row>
    <row r="937" spans="5:5" ht="15.75" customHeight="1">
      <c r="E937" s="21"/>
    </row>
    <row r="938" spans="5:5" ht="15.75" customHeight="1">
      <c r="E938" s="21"/>
    </row>
    <row r="939" spans="5:5" ht="15.75" customHeight="1">
      <c r="E939" s="21"/>
    </row>
    <row r="940" spans="5:5" ht="15.75" customHeight="1">
      <c r="E940" s="21"/>
    </row>
    <row r="941" spans="5:5" ht="15.75" customHeight="1">
      <c r="E941" s="21"/>
    </row>
    <row r="942" spans="5:5" ht="15.75" customHeight="1">
      <c r="E942" s="21"/>
    </row>
    <row r="943" spans="5:5" ht="15.75" customHeight="1">
      <c r="E943" s="21"/>
    </row>
    <row r="944" spans="5:5" ht="15.75" customHeight="1">
      <c r="E944" s="21"/>
    </row>
    <row r="945" spans="5:5" ht="15.75" customHeight="1">
      <c r="E945" s="21"/>
    </row>
    <row r="946" spans="5:5" ht="15.75" customHeight="1">
      <c r="E946" s="21"/>
    </row>
    <row r="947" spans="5:5" ht="15.75" customHeight="1">
      <c r="E947" s="21"/>
    </row>
    <row r="948" spans="5:5" ht="15.75" customHeight="1">
      <c r="E948" s="21"/>
    </row>
    <row r="949" spans="5:5" ht="15.75" customHeight="1">
      <c r="E949" s="21"/>
    </row>
    <row r="950" spans="5:5" ht="15.75" customHeight="1">
      <c r="E950" s="21"/>
    </row>
    <row r="951" spans="5:5" ht="15.75" customHeight="1">
      <c r="E951" s="21"/>
    </row>
    <row r="952" spans="5:5" ht="15.75" customHeight="1">
      <c r="E952" s="21"/>
    </row>
    <row r="953" spans="5:5" ht="15.75" customHeight="1">
      <c r="E953" s="21"/>
    </row>
    <row r="954" spans="5:5" ht="15.75" customHeight="1">
      <c r="E954" s="21"/>
    </row>
    <row r="955" spans="5:5" ht="15.75" customHeight="1">
      <c r="E955" s="21"/>
    </row>
    <row r="956" spans="5:5" ht="15.75" customHeight="1">
      <c r="E956" s="21"/>
    </row>
    <row r="957" spans="5:5" ht="15.75" customHeight="1">
      <c r="E957" s="21"/>
    </row>
    <row r="958" spans="5:5" ht="15.75" customHeight="1">
      <c r="E958" s="21"/>
    </row>
    <row r="959" spans="5:5" ht="15.75" customHeight="1">
      <c r="E959" s="21"/>
    </row>
    <row r="960" spans="5:5" ht="15.75" customHeight="1">
      <c r="E960" s="21"/>
    </row>
    <row r="961" spans="5:5" ht="15.75" customHeight="1">
      <c r="E961" s="21"/>
    </row>
    <row r="962" spans="5:5" ht="15.75" customHeight="1">
      <c r="E962" s="21"/>
    </row>
    <row r="963" spans="5:5" ht="15.75" customHeight="1">
      <c r="E963" s="21"/>
    </row>
    <row r="964" spans="5:5" ht="15.75" customHeight="1">
      <c r="E964" s="21"/>
    </row>
    <row r="965" spans="5:5" ht="15.75" customHeight="1">
      <c r="E965" s="21"/>
    </row>
    <row r="966" spans="5:5" ht="15.75" customHeight="1">
      <c r="E966" s="21"/>
    </row>
    <row r="967" spans="5:5" ht="15.75" customHeight="1">
      <c r="E967" s="21"/>
    </row>
    <row r="968" spans="5:5" ht="15.75" customHeight="1">
      <c r="E968" s="21"/>
    </row>
    <row r="969" spans="5:5" ht="15.75" customHeight="1">
      <c r="E969" s="21"/>
    </row>
    <row r="970" spans="5:5" ht="15.75" customHeight="1">
      <c r="E970" s="21"/>
    </row>
    <row r="971" spans="5:5" ht="15.75" customHeight="1">
      <c r="E971" s="21"/>
    </row>
    <row r="972" spans="5:5" ht="15.75" customHeight="1">
      <c r="E972" s="21"/>
    </row>
    <row r="973" spans="5:5" ht="15.75" customHeight="1">
      <c r="E973" s="21"/>
    </row>
    <row r="974" spans="5:5" ht="15.75" customHeight="1">
      <c r="E974" s="21"/>
    </row>
    <row r="975" spans="5:5" ht="15.75" customHeight="1">
      <c r="E975" s="21"/>
    </row>
    <row r="976" spans="5:5" ht="15.75" customHeight="1">
      <c r="E976" s="21"/>
    </row>
    <row r="977" spans="5:5" ht="15.75" customHeight="1">
      <c r="E977" s="21"/>
    </row>
    <row r="978" spans="5:5" ht="15.75" customHeight="1">
      <c r="E978" s="21"/>
    </row>
    <row r="979" spans="5:5" ht="15.75" customHeight="1">
      <c r="E979" s="21"/>
    </row>
    <row r="980" spans="5:5" ht="15.75" customHeight="1">
      <c r="E980" s="21"/>
    </row>
    <row r="981" spans="5:5" ht="15.75" customHeight="1">
      <c r="E981" s="21"/>
    </row>
    <row r="982" spans="5:5" ht="15.75" customHeight="1">
      <c r="E982" s="21"/>
    </row>
    <row r="983" spans="5:5" ht="15.75" customHeight="1">
      <c r="E983" s="21"/>
    </row>
    <row r="984" spans="5:5" ht="15.75" customHeight="1">
      <c r="E984" s="21"/>
    </row>
    <row r="985" spans="5:5" ht="15.75" customHeight="1">
      <c r="E985" s="21"/>
    </row>
    <row r="986" spans="5:5" ht="15.75" customHeight="1">
      <c r="E986" s="21"/>
    </row>
    <row r="987" spans="5:5" ht="15.75" customHeight="1">
      <c r="E987" s="21"/>
    </row>
    <row r="988" spans="5:5" ht="15.75" customHeight="1">
      <c r="E988" s="21"/>
    </row>
    <row r="989" spans="5:5" ht="15.75" customHeight="1">
      <c r="E989" s="21"/>
    </row>
    <row r="990" spans="5:5" ht="15.75" customHeight="1">
      <c r="E990" s="21"/>
    </row>
    <row r="991" spans="5:5" ht="15.75" customHeight="1">
      <c r="E991" s="21"/>
    </row>
    <row r="992" spans="5:5" ht="15.75" customHeight="1">
      <c r="E992" s="21"/>
    </row>
    <row r="993" spans="5:5" ht="15.75" customHeight="1">
      <c r="E993" s="21"/>
    </row>
    <row r="994" spans="5:5" ht="15.75" customHeight="1">
      <c r="E994" s="21"/>
    </row>
    <row r="995" spans="5:5" ht="15.75" customHeight="1">
      <c r="E995" s="21"/>
    </row>
    <row r="996" spans="5:5" ht="15.75" customHeight="1">
      <c r="E996" s="21"/>
    </row>
    <row r="997" spans="5:5" ht="15.75" customHeight="1">
      <c r="E997" s="21"/>
    </row>
    <row r="998" spans="5:5" ht="15.75" customHeight="1">
      <c r="E998" s="21"/>
    </row>
    <row r="999" spans="5:5" ht="15.75" customHeight="1">
      <c r="E999" s="21"/>
    </row>
    <row r="1000" spans="5:5" ht="15.75" customHeight="1">
      <c r="E1000" s="21"/>
    </row>
  </sheetData>
  <mergeCells count="2">
    <mergeCell ref="A1:H1"/>
    <mergeCell ref="A2:H2"/>
  </mergeCells>
  <dataValidations count="1">
    <dataValidation type="custom" allowBlank="1" showDropDown="1" sqref="C5:E20" xr:uid="{00000000-0002-0000-0100-000000000000}">
      <formula1>AND(ISNUMBER(C5),(NOT(OR(NOT(ISERROR(DATEVALUE(C5))), AND(ISNUMBER(C5), LEFT(CELL("format", C5))="D")))))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topLeftCell="A2" workbookViewId="0">
      <selection activeCell="J21" sqref="J21"/>
    </sheetView>
  </sheetViews>
  <sheetFormatPr defaultColWidth="14.44140625" defaultRowHeight="15" customHeight="1"/>
  <cols>
    <col min="1" max="1" width="10.5546875" customWidth="1"/>
    <col min="2" max="5" width="8" customWidth="1"/>
    <col min="6" max="6" width="12" customWidth="1"/>
    <col min="7" max="7" width="18.33203125" customWidth="1"/>
    <col min="8" max="9" width="8" customWidth="1"/>
    <col min="10" max="10" width="12.33203125" customWidth="1"/>
    <col min="11" max="11" width="8" customWidth="1"/>
    <col min="12" max="12" width="13.88671875" customWidth="1"/>
    <col min="13" max="26" width="8" customWidth="1"/>
  </cols>
  <sheetData>
    <row r="1" spans="1:14" ht="18.75" customHeight="1">
      <c r="A1" s="300" t="s">
        <v>74</v>
      </c>
      <c r="B1" s="301"/>
      <c r="C1" s="301"/>
      <c r="D1" s="301"/>
      <c r="E1" s="301"/>
      <c r="F1" s="301"/>
      <c r="G1" s="301"/>
      <c r="H1" s="301"/>
    </row>
    <row r="2" spans="1:14" ht="14.4">
      <c r="A2" s="303" t="s">
        <v>75</v>
      </c>
      <c r="B2" s="301"/>
      <c r="C2" s="301"/>
      <c r="D2" s="301"/>
      <c r="E2" s="301"/>
      <c r="F2" s="301"/>
      <c r="G2" s="301"/>
      <c r="H2" s="301"/>
    </row>
    <row r="4" spans="1:14" ht="14.4">
      <c r="A4" s="22" t="s">
        <v>76</v>
      </c>
      <c r="B4" s="23" t="s">
        <v>77</v>
      </c>
      <c r="C4" s="23" t="s">
        <v>78</v>
      </c>
      <c r="D4" s="23" t="s">
        <v>79</v>
      </c>
      <c r="E4" s="23" t="s">
        <v>80</v>
      </c>
      <c r="F4" s="23" t="s">
        <v>81</v>
      </c>
      <c r="G4" s="24" t="s">
        <v>51</v>
      </c>
      <c r="M4" s="5"/>
      <c r="N4" s="5"/>
    </row>
    <row r="5" spans="1:14" ht="14.4">
      <c r="A5" s="25" t="s">
        <v>82</v>
      </c>
      <c r="B5" s="26">
        <v>25</v>
      </c>
      <c r="C5" s="26">
        <v>25</v>
      </c>
      <c r="D5" s="26">
        <v>20</v>
      </c>
      <c r="E5" s="6">
        <f t="shared" ref="E5:E13" si="0">SUM(B5:D5)</f>
        <v>70</v>
      </c>
      <c r="F5" s="6">
        <f t="shared" ref="F5:F13" si="1">AVERAGE(B5:D5)</f>
        <v>23.333333333333332</v>
      </c>
      <c r="G5" s="27" t="str">
        <f>IF(F5&gt;20,"a",IF(F5&gt;15,"b","c'))"))</f>
        <v>a</v>
      </c>
      <c r="I5" s="283" t="s">
        <v>1223</v>
      </c>
      <c r="J5" s="5">
        <f>COUNTA(A5:A13)</f>
        <v>9</v>
      </c>
      <c r="L5" s="5"/>
      <c r="M5" s="5"/>
      <c r="N5" s="5"/>
    </row>
    <row r="6" spans="1:14" ht="14.4">
      <c r="A6" s="25" t="s">
        <v>83</v>
      </c>
      <c r="B6" s="26">
        <v>30</v>
      </c>
      <c r="C6" s="26">
        <v>12</v>
      </c>
      <c r="D6" s="26">
        <v>15</v>
      </c>
      <c r="E6" s="6">
        <f t="shared" si="0"/>
        <v>57</v>
      </c>
      <c r="F6" s="6">
        <f t="shared" si="1"/>
        <v>19</v>
      </c>
      <c r="G6" s="27" t="str">
        <f>IF(E6&gt;20,"a",IF(E6&gt;15,"b","c'))"))</f>
        <v>a</v>
      </c>
      <c r="J6" s="5"/>
      <c r="L6" s="5"/>
      <c r="M6" s="5"/>
      <c r="N6" s="5"/>
    </row>
    <row r="7" spans="1:14" ht="14.4">
      <c r="A7" s="25" t="s">
        <v>85</v>
      </c>
      <c r="B7" s="26">
        <v>15</v>
      </c>
      <c r="C7" s="26">
        <v>14</v>
      </c>
      <c r="D7" s="26">
        <v>14</v>
      </c>
      <c r="E7" s="6">
        <f t="shared" si="0"/>
        <v>43</v>
      </c>
      <c r="F7" s="6">
        <f t="shared" si="1"/>
        <v>14.333333333333334</v>
      </c>
      <c r="G7" s="27" t="str">
        <f>IF(E7&gt;20,"a",IF(E7&gt;15,"b","c"))</f>
        <v>a</v>
      </c>
      <c r="I7" s="283" t="s">
        <v>1224</v>
      </c>
      <c r="J7" s="5">
        <f>COUNTIF(B5:B13,"&gt;20")</f>
        <v>2</v>
      </c>
      <c r="L7" s="5"/>
      <c r="N7" s="5"/>
    </row>
    <row r="8" spans="1:14" ht="14.4">
      <c r="A8" s="25" t="s">
        <v>84</v>
      </c>
      <c r="B8" s="26">
        <v>12</v>
      </c>
      <c r="C8" s="26">
        <v>17</v>
      </c>
      <c r="D8" s="26">
        <v>17</v>
      </c>
      <c r="E8" s="6">
        <f t="shared" si="0"/>
        <v>46</v>
      </c>
      <c r="F8" s="6">
        <f t="shared" si="1"/>
        <v>15.333333333333334</v>
      </c>
      <c r="G8" s="27" t="str">
        <f>IF(E8&gt;20,"a",IF(E8&gt;15,"b","c'))"))</f>
        <v>a</v>
      </c>
      <c r="J8" s="5"/>
      <c r="L8" s="5"/>
      <c r="N8" s="5"/>
    </row>
    <row r="9" spans="1:14" ht="14.4">
      <c r="A9" s="25" t="s">
        <v>86</v>
      </c>
      <c r="B9" s="26">
        <v>14</v>
      </c>
      <c r="C9" s="26">
        <v>18</v>
      </c>
      <c r="D9" s="26">
        <v>18</v>
      </c>
      <c r="E9" s="6">
        <f t="shared" si="0"/>
        <v>50</v>
      </c>
      <c r="F9" s="6">
        <f t="shared" si="1"/>
        <v>16.666666666666668</v>
      </c>
      <c r="G9" s="27" t="str">
        <f>IF(F9&gt;20,"a",IF(F9&gt;15,"b","c'))"))</f>
        <v>b</v>
      </c>
      <c r="I9" s="283" t="s">
        <v>1226</v>
      </c>
      <c r="J9" s="5" t="str">
        <f>IF(F5&gt;20,"A",IF(F5&gt;15,"B","C"))</f>
        <v>A</v>
      </c>
    </row>
    <row r="10" spans="1:14" ht="14.4">
      <c r="A10" s="25" t="s">
        <v>87</v>
      </c>
      <c r="B10" s="26">
        <v>16</v>
      </c>
      <c r="C10" s="26">
        <v>25</v>
      </c>
      <c r="D10" s="26">
        <v>20</v>
      </c>
      <c r="E10" s="6">
        <f t="shared" si="0"/>
        <v>61</v>
      </c>
      <c r="F10" s="6">
        <f t="shared" si="1"/>
        <v>20.333333333333332</v>
      </c>
      <c r="G10" s="27" t="str">
        <f>IF(E10&gt;20,"a",IF(E10&gt;15,"b","c'))"))</f>
        <v>a</v>
      </c>
      <c r="J10" s="5" t="str">
        <f t="shared" ref="J10:J17" si="2">IF(F6&gt;20,"A",IF(F6&gt;15,"B","C"))</f>
        <v>B</v>
      </c>
    </row>
    <row r="11" spans="1:14" ht="14.4">
      <c r="A11" s="25" t="s">
        <v>88</v>
      </c>
      <c r="B11" s="26">
        <v>18</v>
      </c>
      <c r="C11" s="26">
        <v>21</v>
      </c>
      <c r="D11" s="26">
        <v>22</v>
      </c>
      <c r="E11" s="6">
        <f t="shared" si="0"/>
        <v>61</v>
      </c>
      <c r="F11" s="6">
        <f t="shared" si="1"/>
        <v>20.333333333333332</v>
      </c>
      <c r="G11" s="27" t="str">
        <f>IF(F11&gt;20,"a",IF(F11&gt;15,"b","c'))"))</f>
        <v>a</v>
      </c>
      <c r="J11" s="5" t="str">
        <f t="shared" si="2"/>
        <v>C</v>
      </c>
    </row>
    <row r="12" spans="1:14" ht="14.4">
      <c r="A12" s="25" t="s">
        <v>89</v>
      </c>
      <c r="B12" s="26">
        <v>17</v>
      </c>
      <c r="C12" s="26">
        <v>23</v>
      </c>
      <c r="D12" s="26">
        <v>13</v>
      </c>
      <c r="E12" s="6">
        <f t="shared" si="0"/>
        <v>53</v>
      </c>
      <c r="F12" s="6">
        <f t="shared" si="1"/>
        <v>17.666666666666668</v>
      </c>
      <c r="G12" s="27" t="str">
        <f>IF(E12&gt;20,"a",IF(E12&gt;15,"b","c'))"))</f>
        <v>a</v>
      </c>
      <c r="J12" s="5" t="str">
        <f t="shared" si="2"/>
        <v>B</v>
      </c>
    </row>
    <row r="13" spans="1:14" ht="14.4">
      <c r="A13" s="28" t="s">
        <v>90</v>
      </c>
      <c r="B13" s="29">
        <v>20</v>
      </c>
      <c r="C13" s="29">
        <v>25</v>
      </c>
      <c r="D13" s="29">
        <v>25</v>
      </c>
      <c r="E13" s="6">
        <f t="shared" si="0"/>
        <v>70</v>
      </c>
      <c r="F13" s="6">
        <f t="shared" si="1"/>
        <v>23.333333333333332</v>
      </c>
      <c r="G13" s="27" t="str">
        <f>IF(F13&gt;20,"a",IF(F13&gt;15,"b","c'))"))</f>
        <v>a</v>
      </c>
      <c r="J13" s="5" t="str">
        <f t="shared" si="2"/>
        <v>B</v>
      </c>
    </row>
    <row r="14" spans="1:14" ht="14.4">
      <c r="A14" s="5">
        <f>COUNTA(A5:A13)</f>
        <v>9</v>
      </c>
      <c r="B14" s="5">
        <f>COUNTIF(B5:B13,"&gt;=20")</f>
        <v>3</v>
      </c>
      <c r="G14" s="27"/>
      <c r="J14" s="5" t="str">
        <f t="shared" si="2"/>
        <v>A</v>
      </c>
    </row>
    <row r="15" spans="1:14" ht="19.5" customHeight="1">
      <c r="A15" s="11" t="s">
        <v>91</v>
      </c>
      <c r="B15" s="11"/>
      <c r="C15" s="11"/>
      <c r="D15" s="11"/>
      <c r="E15" s="11"/>
      <c r="G15" s="5" t="s">
        <v>39</v>
      </c>
      <c r="J15" s="5" t="str">
        <f t="shared" si="2"/>
        <v>A</v>
      </c>
    </row>
    <row r="16" spans="1:14" ht="19.5" customHeight="1">
      <c r="A16" s="11" t="s">
        <v>92</v>
      </c>
      <c r="B16" s="11"/>
      <c r="C16" s="11"/>
      <c r="D16" s="11"/>
      <c r="E16" s="11"/>
      <c r="G16" s="5" t="s">
        <v>30</v>
      </c>
      <c r="J16" s="5" t="str">
        <f t="shared" si="2"/>
        <v>B</v>
      </c>
    </row>
    <row r="17" spans="1:15" ht="19.5" customHeight="1">
      <c r="A17" s="11" t="s">
        <v>93</v>
      </c>
      <c r="B17" s="11"/>
      <c r="C17" s="11"/>
      <c r="D17" s="11"/>
      <c r="E17" s="11"/>
      <c r="G17" s="5" t="s">
        <v>94</v>
      </c>
      <c r="J17" s="5" t="str">
        <f t="shared" si="2"/>
        <v>A</v>
      </c>
      <c r="L17" s="5"/>
      <c r="M17" s="5"/>
    </row>
    <row r="18" spans="1:15" ht="19.5" customHeight="1">
      <c r="A18" s="11" t="s">
        <v>95</v>
      </c>
      <c r="B18" s="11"/>
      <c r="C18" s="11"/>
      <c r="D18" s="11"/>
      <c r="E18" s="11"/>
      <c r="K18" s="5"/>
    </row>
    <row r="19" spans="1:15" ht="19.5" customHeight="1">
      <c r="A19" s="11" t="s">
        <v>96</v>
      </c>
      <c r="B19" s="11"/>
      <c r="C19" s="11"/>
      <c r="D19" s="11"/>
      <c r="E19" s="11"/>
      <c r="G19" s="5" t="s">
        <v>94</v>
      </c>
      <c r="K19" s="5"/>
      <c r="L19" s="5"/>
      <c r="M19" s="5"/>
      <c r="O19" s="30"/>
    </row>
    <row r="20" spans="1:15" ht="14.4">
      <c r="C20" s="5" t="s">
        <v>97</v>
      </c>
      <c r="K20" s="5"/>
      <c r="L20" s="5"/>
      <c r="M20" s="5"/>
    </row>
    <row r="21" spans="1:15" ht="15.75" customHeight="1">
      <c r="B21" s="5" t="s">
        <v>98</v>
      </c>
      <c r="C21" s="5">
        <f>VLOOKUP(B21,$A$4:$G$13,5,0)</f>
        <v>70</v>
      </c>
      <c r="K21" s="31"/>
      <c r="L21" s="5"/>
    </row>
    <row r="22" spans="1:15" ht="15.75" customHeight="1">
      <c r="L22" s="30"/>
    </row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 count="1">
    <dataValidation type="list" allowBlank="1" sqref="L17" xr:uid="{00000000-0002-0000-0200-000000000000}">
      <formula1>$A$5:$A$13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topLeftCell="C7" workbookViewId="0">
      <selection activeCell="E24" sqref="E24"/>
    </sheetView>
  </sheetViews>
  <sheetFormatPr defaultColWidth="14.44140625" defaultRowHeight="15" customHeight="1"/>
  <cols>
    <col min="1" max="1" width="8" customWidth="1"/>
    <col min="2" max="2" width="15.109375" customWidth="1"/>
    <col min="3" max="3" width="13.5546875" customWidth="1"/>
    <col min="4" max="4" width="8.6640625" customWidth="1"/>
    <col min="5" max="5" width="10.33203125" customWidth="1"/>
    <col min="6" max="6" width="11.44140625" customWidth="1"/>
    <col min="7" max="7" width="9.88671875" customWidth="1"/>
    <col min="8" max="9" width="8" customWidth="1"/>
    <col min="10" max="10" width="13.109375" customWidth="1"/>
    <col min="11" max="11" width="11.88671875" customWidth="1"/>
    <col min="12" max="12" width="14.109375" customWidth="1"/>
    <col min="13" max="26" width="8" customWidth="1"/>
  </cols>
  <sheetData>
    <row r="1" spans="1:14" ht="18.75" customHeight="1">
      <c r="A1" s="300" t="s">
        <v>99</v>
      </c>
      <c r="B1" s="301"/>
      <c r="C1" s="301"/>
      <c r="D1" s="301"/>
      <c r="E1" s="301"/>
      <c r="F1" s="301"/>
      <c r="G1" s="301"/>
      <c r="H1" s="301"/>
    </row>
    <row r="2" spans="1:14" ht="14.4">
      <c r="A2" s="303" t="s">
        <v>75</v>
      </c>
      <c r="B2" s="301"/>
      <c r="C2" s="301"/>
      <c r="D2" s="301"/>
      <c r="E2" s="301"/>
      <c r="F2" s="301"/>
      <c r="G2" s="301"/>
      <c r="H2" s="301"/>
    </row>
    <row r="4" spans="1:14" ht="14.4">
      <c r="A4" s="32" t="s">
        <v>100</v>
      </c>
      <c r="B4" s="33" t="s">
        <v>101</v>
      </c>
      <c r="C4" s="33" t="s">
        <v>102</v>
      </c>
      <c r="D4" s="33" t="s">
        <v>103</v>
      </c>
      <c r="E4" s="33" t="s">
        <v>104</v>
      </c>
      <c r="F4" s="33" t="s">
        <v>104</v>
      </c>
      <c r="G4" s="33" t="s">
        <v>104</v>
      </c>
      <c r="H4" s="33" t="s">
        <v>104</v>
      </c>
      <c r="I4" s="33" t="s">
        <v>104</v>
      </c>
      <c r="J4" s="30"/>
      <c r="K4" s="30"/>
      <c r="L4" s="30"/>
    </row>
    <row r="5" spans="1:14" ht="14.4">
      <c r="A5" s="25" t="s">
        <v>105</v>
      </c>
      <c r="B5" s="26" t="s">
        <v>57</v>
      </c>
      <c r="C5" s="26" t="s">
        <v>106</v>
      </c>
      <c r="D5" s="26">
        <v>5000</v>
      </c>
      <c r="E5" s="6">
        <f>D5*2.5%</f>
        <v>125</v>
      </c>
      <c r="F5" s="6">
        <f t="shared" ref="F5:F12" si="0">D5*3.5%</f>
        <v>175.00000000000003</v>
      </c>
      <c r="G5" s="6">
        <f t="shared" ref="G5:G12" si="1">D5*1.5</f>
        <v>7500</v>
      </c>
      <c r="H5" s="6">
        <f t="shared" ref="H5:H12" si="2">SUM(D5:G5)</f>
        <v>12800</v>
      </c>
      <c r="I5" s="34" t="str">
        <f t="shared" ref="I5:I12" si="3">IF(H5&gt;20000,"a",IF(H5&gt;10000,"b","c"))</f>
        <v>b</v>
      </c>
      <c r="J5" s="30"/>
      <c r="K5" s="30"/>
      <c r="L5" s="30"/>
    </row>
    <row r="6" spans="1:14" ht="14.4">
      <c r="A6" s="25" t="s">
        <v>107</v>
      </c>
      <c r="B6" s="26" t="s">
        <v>57</v>
      </c>
      <c r="C6" s="26" t="s">
        <v>108</v>
      </c>
      <c r="D6" s="26">
        <v>8000</v>
      </c>
      <c r="E6" s="6">
        <f t="shared" ref="E6:E7" si="4">D6*2.5</f>
        <v>20000</v>
      </c>
      <c r="F6" s="6">
        <f t="shared" si="0"/>
        <v>280</v>
      </c>
      <c r="G6" s="6">
        <f t="shared" si="1"/>
        <v>12000</v>
      </c>
      <c r="H6" s="6">
        <f t="shared" si="2"/>
        <v>40280</v>
      </c>
      <c r="I6" s="34" t="str">
        <f t="shared" si="3"/>
        <v>a</v>
      </c>
    </row>
    <row r="7" spans="1:14" ht="14.4">
      <c r="A7" s="25" t="s">
        <v>17</v>
      </c>
      <c r="B7" s="26" t="s">
        <v>57</v>
      </c>
      <c r="C7" s="26" t="s">
        <v>109</v>
      </c>
      <c r="D7" s="26">
        <v>3000</v>
      </c>
      <c r="E7" s="6">
        <f t="shared" si="4"/>
        <v>7500</v>
      </c>
      <c r="F7" s="6">
        <f t="shared" si="0"/>
        <v>105.00000000000001</v>
      </c>
      <c r="G7" s="6">
        <f t="shared" si="1"/>
        <v>4500</v>
      </c>
      <c r="H7" s="6">
        <f t="shared" si="2"/>
        <v>15105</v>
      </c>
      <c r="I7" s="34" t="str">
        <f t="shared" si="3"/>
        <v>b</v>
      </c>
    </row>
    <row r="8" spans="1:14" ht="14.4">
      <c r="A8" s="25" t="s">
        <v>22</v>
      </c>
      <c r="B8" s="26" t="s">
        <v>110</v>
      </c>
      <c r="C8" s="26" t="s">
        <v>111</v>
      </c>
      <c r="D8" s="26">
        <v>6000</v>
      </c>
      <c r="E8" s="6">
        <f t="shared" ref="E8:E9" si="5">D8*2.5%</f>
        <v>150</v>
      </c>
      <c r="F8" s="6">
        <f t="shared" si="0"/>
        <v>210.00000000000003</v>
      </c>
      <c r="G8" s="6">
        <f t="shared" si="1"/>
        <v>9000</v>
      </c>
      <c r="H8" s="6">
        <f t="shared" si="2"/>
        <v>15360</v>
      </c>
      <c r="I8" s="34" t="str">
        <f t="shared" si="3"/>
        <v>b</v>
      </c>
      <c r="L8" s="5"/>
      <c r="M8" s="5"/>
    </row>
    <row r="9" spans="1:14" ht="14.4">
      <c r="A9" s="25" t="s">
        <v>112</v>
      </c>
      <c r="B9" s="26" t="s">
        <v>110</v>
      </c>
      <c r="C9" s="26" t="s">
        <v>113</v>
      </c>
      <c r="D9" s="26">
        <v>8000</v>
      </c>
      <c r="E9" s="6">
        <f t="shared" si="5"/>
        <v>200</v>
      </c>
      <c r="F9" s="6">
        <f t="shared" si="0"/>
        <v>280</v>
      </c>
      <c r="G9" s="6">
        <f t="shared" si="1"/>
        <v>12000</v>
      </c>
      <c r="H9" s="6">
        <f t="shared" si="2"/>
        <v>20480</v>
      </c>
      <c r="I9" s="34" t="str">
        <f t="shared" si="3"/>
        <v>a</v>
      </c>
      <c r="K9" s="5"/>
      <c r="L9" s="5"/>
    </row>
    <row r="10" spans="1:14" ht="14.4">
      <c r="A10" s="25" t="s">
        <v>114</v>
      </c>
      <c r="B10" s="26" t="s">
        <v>110</v>
      </c>
      <c r="C10" s="26" t="s">
        <v>115</v>
      </c>
      <c r="D10" s="26">
        <v>9000</v>
      </c>
      <c r="E10" s="6">
        <f>D10*2.5</f>
        <v>22500</v>
      </c>
      <c r="F10" s="6">
        <f t="shared" si="0"/>
        <v>315.00000000000006</v>
      </c>
      <c r="G10" s="6">
        <f t="shared" si="1"/>
        <v>13500</v>
      </c>
      <c r="H10" s="6">
        <f t="shared" si="2"/>
        <v>45315</v>
      </c>
      <c r="I10" s="34" t="str">
        <f t="shared" si="3"/>
        <v>a</v>
      </c>
      <c r="K10" s="5"/>
      <c r="L10" s="283" t="s">
        <v>1223</v>
      </c>
      <c r="N10" s="283" t="s">
        <v>1224</v>
      </c>
    </row>
    <row r="11" spans="1:14" ht="14.4">
      <c r="A11" s="25" t="s">
        <v>116</v>
      </c>
      <c r="B11" s="26" t="s">
        <v>117</v>
      </c>
      <c r="C11" s="26" t="s">
        <v>106</v>
      </c>
      <c r="D11" s="26">
        <v>10000</v>
      </c>
      <c r="F11" s="6">
        <f t="shared" si="0"/>
        <v>350.00000000000006</v>
      </c>
      <c r="G11" s="6">
        <f t="shared" si="1"/>
        <v>15000</v>
      </c>
      <c r="H11" s="6">
        <f t="shared" si="2"/>
        <v>25350</v>
      </c>
      <c r="I11" s="34" t="str">
        <f t="shared" si="3"/>
        <v>a</v>
      </c>
      <c r="L11">
        <f>COUNTIF(B5:B12,"COMPUTER")</f>
        <v>3</v>
      </c>
      <c r="N11">
        <f>SUMIF(B5:B12,"COMPUTER",D5:D12)</f>
        <v>16000</v>
      </c>
    </row>
    <row r="12" spans="1:14" ht="14.4">
      <c r="A12" s="28" t="s">
        <v>118</v>
      </c>
      <c r="B12" s="29" t="s">
        <v>117</v>
      </c>
      <c r="C12" s="286" t="s">
        <v>111</v>
      </c>
      <c r="D12" s="29">
        <v>5000</v>
      </c>
      <c r="E12" s="6">
        <f>D11*2.5</f>
        <v>25000</v>
      </c>
      <c r="F12" s="6">
        <f t="shared" si="0"/>
        <v>175.00000000000003</v>
      </c>
      <c r="G12" s="6">
        <f t="shared" si="1"/>
        <v>7500</v>
      </c>
      <c r="H12" s="6">
        <f t="shared" si="2"/>
        <v>37675</v>
      </c>
      <c r="I12" s="34" t="str">
        <f t="shared" si="3"/>
        <v>a</v>
      </c>
      <c r="L12">
        <f>COUNTIF(B5:B12,"FINANCE")</f>
        <v>2</v>
      </c>
    </row>
    <row r="13" spans="1:14" ht="15" customHeight="1">
      <c r="L13">
        <f>COUNTIF(B5:B12,"ELECTRICAL")</f>
        <v>3</v>
      </c>
    </row>
    <row r="14" spans="1:14" ht="19.5" customHeight="1">
      <c r="A14" s="11" t="s">
        <v>119</v>
      </c>
      <c r="B14" s="11"/>
      <c r="C14" s="11"/>
      <c r="D14" s="11"/>
      <c r="E14" s="11"/>
      <c r="F14" s="11"/>
      <c r="H14" s="5" t="s">
        <v>30</v>
      </c>
      <c r="I14" s="11"/>
      <c r="J14" s="11"/>
      <c r="K14" s="11"/>
      <c r="L14" s="11"/>
    </row>
    <row r="15" spans="1:14" ht="19.5" customHeight="1">
      <c r="A15" s="11" t="s">
        <v>120</v>
      </c>
      <c r="B15" s="11"/>
      <c r="C15" s="11"/>
      <c r="D15" s="11"/>
      <c r="E15" s="11"/>
      <c r="F15" s="11"/>
      <c r="H15" s="11" t="s">
        <v>34</v>
      </c>
      <c r="J15" s="5"/>
      <c r="L15" s="283" t="s">
        <v>1226</v>
      </c>
    </row>
    <row r="16" spans="1:14" ht="19.5" customHeight="1">
      <c r="A16" s="11" t="s">
        <v>121</v>
      </c>
      <c r="B16" s="11"/>
      <c r="C16" s="11"/>
      <c r="D16" s="11"/>
      <c r="E16" s="11"/>
      <c r="F16" s="11"/>
      <c r="H16" s="5" t="s">
        <v>94</v>
      </c>
      <c r="I16" s="4"/>
      <c r="J16" s="35"/>
      <c r="L16" t="str">
        <f>IF(D5&gt;20000,"a",IF(D5&gt;=10000,"b","C"))</f>
        <v>C</v>
      </c>
    </row>
    <row r="17" spans="1:12" ht="19.5" customHeight="1">
      <c r="A17" s="11" t="s">
        <v>122</v>
      </c>
      <c r="B17" s="11"/>
      <c r="C17" s="11"/>
      <c r="D17" s="11"/>
      <c r="E17" s="11"/>
      <c r="F17" s="11"/>
      <c r="L17" t="str">
        <f t="shared" ref="L17:L23" si="6">IF(D6&gt;20000,"a",IF(D6&gt;=10000,"b","C"))</f>
        <v>C</v>
      </c>
    </row>
    <row r="18" spans="1:12" ht="19.5" customHeight="1">
      <c r="A18" s="11" t="s">
        <v>123</v>
      </c>
      <c r="B18" s="11"/>
      <c r="C18" s="11"/>
      <c r="D18" s="11"/>
      <c r="E18" s="4"/>
      <c r="F18" s="4"/>
      <c r="H18" s="5" t="s">
        <v>30</v>
      </c>
      <c r="L18" t="str">
        <f t="shared" si="6"/>
        <v>C</v>
      </c>
    </row>
    <row r="19" spans="1:12" ht="15" customHeight="1">
      <c r="L19" t="str">
        <f t="shared" si="6"/>
        <v>C</v>
      </c>
    </row>
    <row r="20" spans="1:12" ht="14.4">
      <c r="A20" s="5"/>
      <c r="B20" s="5"/>
      <c r="C20" s="5"/>
      <c r="L20" t="str">
        <f t="shared" si="6"/>
        <v>C</v>
      </c>
    </row>
    <row r="21" spans="1:12" ht="15.75" customHeight="1">
      <c r="B21" s="5"/>
      <c r="C21" s="5"/>
      <c r="L21" t="str">
        <f t="shared" si="6"/>
        <v>C</v>
      </c>
    </row>
    <row r="22" spans="1:12" ht="15.75" customHeight="1">
      <c r="B22" s="5"/>
      <c r="C22" s="5"/>
      <c r="F22" s="283" t="s">
        <v>1227</v>
      </c>
      <c r="L22" t="str">
        <f t="shared" si="6"/>
        <v>b</v>
      </c>
    </row>
    <row r="23" spans="1:12" ht="15.75" customHeight="1">
      <c r="L23" t="str">
        <f t="shared" si="6"/>
        <v>C</v>
      </c>
    </row>
    <row r="24" spans="1:12" ht="15.75" customHeight="1">
      <c r="A24" s="5"/>
      <c r="B24" s="5"/>
      <c r="C24" s="5"/>
      <c r="F24">
        <f>COUNTIF(C5:C12,"MANAGER")</f>
        <v>2</v>
      </c>
    </row>
    <row r="25" spans="1:12" ht="15.75" customHeight="1">
      <c r="F25">
        <f>COUNTIF(C5:C12,"GUARD")</f>
        <v>2</v>
      </c>
    </row>
    <row r="26" spans="1:12" ht="15.75" customHeight="1">
      <c r="A26" s="5"/>
      <c r="B26" s="5"/>
      <c r="C26" s="5"/>
    </row>
    <row r="27" spans="1:12" ht="15.75" customHeight="1">
      <c r="B27" s="5"/>
      <c r="C27" s="5"/>
    </row>
    <row r="28" spans="1:12" ht="15.75" customHeight="1"/>
    <row r="29" spans="1:12" ht="15.75" customHeight="1">
      <c r="A29" s="5"/>
      <c r="B29" s="5"/>
      <c r="C29" s="5"/>
    </row>
    <row r="30" spans="1:12" ht="15.75" customHeight="1">
      <c r="B30" s="5"/>
      <c r="C30" s="5"/>
    </row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topLeftCell="AH3" workbookViewId="0">
      <selection activeCell="M15" sqref="M15"/>
    </sheetView>
  </sheetViews>
  <sheetFormatPr defaultColWidth="14.44140625" defaultRowHeight="15" customHeight="1"/>
  <cols>
    <col min="1" max="1" width="12.88671875" customWidth="1"/>
    <col min="2" max="5" width="8" customWidth="1"/>
    <col min="6" max="6" width="12.88671875" customWidth="1"/>
    <col min="7" max="7" width="5.5546875" customWidth="1"/>
    <col min="8" max="8" width="17.109375" customWidth="1"/>
    <col min="9" max="9" width="10" customWidth="1"/>
    <col min="10" max="10" width="13.33203125" customWidth="1"/>
    <col min="11" max="11" width="10.5546875" customWidth="1"/>
    <col min="12" max="12" width="8" customWidth="1"/>
    <col min="13" max="13" width="9" customWidth="1"/>
    <col min="14" max="14" width="13" customWidth="1"/>
    <col min="15" max="15" width="8.88671875" customWidth="1"/>
    <col min="16" max="16" width="14" customWidth="1"/>
    <col min="17" max="28" width="8" customWidth="1"/>
  </cols>
  <sheetData>
    <row r="1" spans="1:16" ht="18.75" customHeight="1">
      <c r="A1" s="300" t="s">
        <v>124</v>
      </c>
      <c r="B1" s="301"/>
      <c r="C1" s="301"/>
      <c r="D1" s="301"/>
      <c r="E1" s="301"/>
      <c r="F1" s="301"/>
      <c r="G1" s="301"/>
      <c r="H1" s="301"/>
    </row>
    <row r="2" spans="1:16" ht="14.4">
      <c r="A2" s="303" t="s">
        <v>125</v>
      </c>
      <c r="B2" s="301"/>
      <c r="C2" s="301"/>
      <c r="D2" s="301"/>
      <c r="E2" s="301"/>
      <c r="F2" s="301"/>
      <c r="G2" s="301"/>
      <c r="H2" s="301"/>
    </row>
    <row r="3" spans="1:16" ht="14.4">
      <c r="A3" s="4"/>
      <c r="B3" s="4"/>
      <c r="C3" s="4"/>
      <c r="D3" s="4"/>
      <c r="E3" s="4"/>
      <c r="F3" s="4"/>
      <c r="G3" s="4"/>
      <c r="H3" s="4"/>
    </row>
    <row r="4" spans="1:16" ht="14.4">
      <c r="A4" s="3" t="s">
        <v>126</v>
      </c>
      <c r="B4" s="3" t="s">
        <v>127</v>
      </c>
      <c r="C4" s="3" t="s">
        <v>128</v>
      </c>
      <c r="D4" s="3" t="s">
        <v>129</v>
      </c>
      <c r="E4" s="3" t="s">
        <v>130</v>
      </c>
      <c r="F4" s="3" t="s">
        <v>131</v>
      </c>
      <c r="G4" s="3" t="s">
        <v>132</v>
      </c>
      <c r="H4" s="3" t="s">
        <v>133</v>
      </c>
      <c r="I4" s="3" t="s">
        <v>134</v>
      </c>
      <c r="J4" s="3" t="s">
        <v>135</v>
      </c>
      <c r="K4" s="3" t="s">
        <v>126</v>
      </c>
      <c r="N4" s="5"/>
      <c r="O4" s="5"/>
    </row>
    <row r="5" spans="1:16" ht="14.4">
      <c r="A5" s="26" t="s">
        <v>136</v>
      </c>
      <c r="B5" s="26">
        <v>2000</v>
      </c>
      <c r="C5" s="26">
        <v>1500</v>
      </c>
      <c r="D5" s="26">
        <v>300</v>
      </c>
      <c r="E5" s="26">
        <v>1400</v>
      </c>
      <c r="F5" s="26">
        <v>2500</v>
      </c>
      <c r="G5" s="26">
        <v>2800</v>
      </c>
      <c r="H5" s="6">
        <f t="shared" ref="H5:H15" si="0">SUM(B5:G5)</f>
        <v>10500</v>
      </c>
      <c r="I5" s="26">
        <v>10000</v>
      </c>
      <c r="J5" s="6" t="str">
        <f t="shared" ref="J5:J15" si="1">IF(H5&gt;I5,"Achieved","not achieved")</f>
        <v>Achieved</v>
      </c>
      <c r="K5" s="26" t="s">
        <v>136</v>
      </c>
      <c r="N5" s="5"/>
      <c r="P5" s="36"/>
    </row>
    <row r="6" spans="1:16" ht="14.4">
      <c r="A6" s="26" t="s">
        <v>114</v>
      </c>
      <c r="B6" s="26">
        <v>5000</v>
      </c>
      <c r="C6" s="26">
        <v>1200</v>
      </c>
      <c r="D6" s="26">
        <v>500</v>
      </c>
      <c r="E6" s="26">
        <v>1200</v>
      </c>
      <c r="F6" s="26">
        <v>1200</v>
      </c>
      <c r="G6" s="26">
        <v>2800</v>
      </c>
      <c r="H6" s="6">
        <f t="shared" si="0"/>
        <v>11900</v>
      </c>
      <c r="I6" s="26">
        <v>12000</v>
      </c>
      <c r="J6" s="6" t="str">
        <f t="shared" si="1"/>
        <v>not achieved</v>
      </c>
      <c r="K6" s="26" t="s">
        <v>114</v>
      </c>
      <c r="N6" s="5"/>
      <c r="P6" s="36"/>
    </row>
    <row r="7" spans="1:16" ht="14.4">
      <c r="A7" s="26" t="s">
        <v>112</v>
      </c>
      <c r="B7" s="26">
        <v>3000</v>
      </c>
      <c r="C7" s="26">
        <v>800</v>
      </c>
      <c r="D7" s="26">
        <v>1200</v>
      </c>
      <c r="E7" s="26">
        <v>3000</v>
      </c>
      <c r="F7" s="26">
        <v>1500</v>
      </c>
      <c r="G7" s="26">
        <v>3500</v>
      </c>
      <c r="H7" s="6">
        <f t="shared" si="0"/>
        <v>13000</v>
      </c>
      <c r="I7" s="26">
        <v>18000</v>
      </c>
      <c r="J7" s="6" t="str">
        <f t="shared" si="1"/>
        <v>not achieved</v>
      </c>
      <c r="K7" s="26" t="s">
        <v>112</v>
      </c>
      <c r="N7" s="5"/>
      <c r="P7" s="36"/>
    </row>
    <row r="8" spans="1:16" ht="14.4">
      <c r="A8" s="26" t="s">
        <v>22</v>
      </c>
      <c r="B8" s="26">
        <v>1000</v>
      </c>
      <c r="C8" s="26">
        <v>900</v>
      </c>
      <c r="D8" s="26">
        <v>1800</v>
      </c>
      <c r="E8" s="26">
        <v>5000</v>
      </c>
      <c r="F8" s="26">
        <v>1400</v>
      </c>
      <c r="G8" s="26">
        <v>1200</v>
      </c>
      <c r="H8" s="6">
        <f t="shared" si="0"/>
        <v>11300</v>
      </c>
      <c r="I8" s="26">
        <v>10000</v>
      </c>
      <c r="J8" s="6" t="str">
        <f t="shared" si="1"/>
        <v>Achieved</v>
      </c>
      <c r="K8" s="26" t="s">
        <v>22</v>
      </c>
      <c r="N8" s="5"/>
      <c r="P8" s="36"/>
    </row>
    <row r="9" spans="1:16" ht="14.4">
      <c r="A9" s="26" t="s">
        <v>17</v>
      </c>
      <c r="B9" s="26">
        <v>500</v>
      </c>
      <c r="C9" s="26">
        <v>1000</v>
      </c>
      <c r="D9" s="26">
        <v>2300</v>
      </c>
      <c r="E9" s="26">
        <v>8000</v>
      </c>
      <c r="F9" s="26">
        <v>1700</v>
      </c>
      <c r="G9" s="26">
        <v>1400</v>
      </c>
      <c r="H9" s="6">
        <f t="shared" si="0"/>
        <v>14900</v>
      </c>
      <c r="I9" s="26">
        <v>12000</v>
      </c>
      <c r="J9" s="6" t="str">
        <f t="shared" si="1"/>
        <v>Achieved</v>
      </c>
      <c r="K9" s="26" t="s">
        <v>17</v>
      </c>
      <c r="N9" s="284" t="s">
        <v>137</v>
      </c>
      <c r="O9">
        <f>VLOOKUP(N9,A5:I15,9,FALSE)</f>
        <v>12000</v>
      </c>
      <c r="P9" s="36" t="str">
        <f>VLOOKUP(N9,A5:J15,10,FALSE)</f>
        <v>Achieved</v>
      </c>
    </row>
    <row r="10" spans="1:16" ht="14.4">
      <c r="A10" s="26" t="s">
        <v>13</v>
      </c>
      <c r="B10" s="26">
        <v>800</v>
      </c>
      <c r="C10" s="26">
        <v>500</v>
      </c>
      <c r="D10" s="26">
        <v>2400</v>
      </c>
      <c r="E10" s="26">
        <v>1900</v>
      </c>
      <c r="F10" s="26">
        <v>1800</v>
      </c>
      <c r="G10" s="26">
        <v>1800</v>
      </c>
      <c r="H10" s="6">
        <f t="shared" si="0"/>
        <v>9200</v>
      </c>
      <c r="I10" s="26">
        <v>10000</v>
      </c>
      <c r="J10" s="6" t="str">
        <f t="shared" si="1"/>
        <v>not achieved</v>
      </c>
      <c r="K10" s="26" t="s">
        <v>13</v>
      </c>
      <c r="N10" s="5"/>
      <c r="P10" s="36"/>
    </row>
    <row r="11" spans="1:16" ht="14.4">
      <c r="A11" s="26" t="s">
        <v>137</v>
      </c>
      <c r="B11" s="26">
        <v>1200</v>
      </c>
      <c r="C11" s="26">
        <v>1400</v>
      </c>
      <c r="D11" s="26">
        <v>1500</v>
      </c>
      <c r="E11" s="26">
        <v>700</v>
      </c>
      <c r="F11" s="26">
        <v>2500</v>
      </c>
      <c r="G11" s="26">
        <v>7000</v>
      </c>
      <c r="H11" s="6">
        <f t="shared" si="0"/>
        <v>14300</v>
      </c>
      <c r="I11" s="26">
        <v>12000</v>
      </c>
      <c r="J11" s="6" t="str">
        <f t="shared" si="1"/>
        <v>Achieved</v>
      </c>
      <c r="K11" s="26" t="s">
        <v>137</v>
      </c>
      <c r="N11" s="5"/>
      <c r="P11" s="36"/>
    </row>
    <row r="12" spans="1:16" ht="14.4">
      <c r="A12" s="26" t="s">
        <v>138</v>
      </c>
      <c r="B12" s="26">
        <v>1500</v>
      </c>
      <c r="C12" s="26">
        <v>1800</v>
      </c>
      <c r="D12" s="26">
        <v>1800</v>
      </c>
      <c r="E12" s="26">
        <v>1800</v>
      </c>
      <c r="F12" s="26">
        <v>300</v>
      </c>
      <c r="G12" s="26">
        <v>1500</v>
      </c>
      <c r="H12" s="6">
        <f t="shared" si="0"/>
        <v>8700</v>
      </c>
      <c r="I12" s="26">
        <v>10000</v>
      </c>
      <c r="J12" s="6" t="str">
        <f t="shared" si="1"/>
        <v>not achieved</v>
      </c>
      <c r="K12" s="26" t="s">
        <v>138</v>
      </c>
      <c r="N12" s="5"/>
      <c r="P12" s="36"/>
    </row>
    <row r="13" spans="1:16" ht="14.4">
      <c r="A13" s="26" t="s">
        <v>139</v>
      </c>
      <c r="B13" s="26">
        <v>1800</v>
      </c>
      <c r="C13" s="26">
        <v>2500</v>
      </c>
      <c r="D13" s="26">
        <v>1700</v>
      </c>
      <c r="E13" s="26">
        <v>1500</v>
      </c>
      <c r="F13" s="26">
        <v>2800</v>
      </c>
      <c r="G13" s="26">
        <v>1800</v>
      </c>
      <c r="H13" s="6">
        <f t="shared" si="0"/>
        <v>12100</v>
      </c>
      <c r="I13" s="26">
        <v>12000</v>
      </c>
      <c r="J13" s="6" t="str">
        <f t="shared" si="1"/>
        <v>Achieved</v>
      </c>
      <c r="K13" s="26" t="s">
        <v>139</v>
      </c>
      <c r="N13" s="5"/>
      <c r="P13" s="36"/>
    </row>
    <row r="14" spans="1:16" ht="14.4">
      <c r="A14" s="26" t="s">
        <v>140</v>
      </c>
      <c r="B14" s="26">
        <v>200</v>
      </c>
      <c r="C14" s="26">
        <v>3000</v>
      </c>
      <c r="D14" s="26">
        <v>1900</v>
      </c>
      <c r="E14" s="26">
        <v>1200</v>
      </c>
      <c r="F14" s="26">
        <v>1500</v>
      </c>
      <c r="G14" s="26">
        <v>3000</v>
      </c>
      <c r="H14" s="6">
        <f t="shared" si="0"/>
        <v>10800</v>
      </c>
      <c r="I14" s="26">
        <v>10000</v>
      </c>
      <c r="J14" s="6" t="str">
        <f t="shared" si="1"/>
        <v>Achieved</v>
      </c>
      <c r="K14" s="26" t="s">
        <v>140</v>
      </c>
      <c r="N14" s="5"/>
      <c r="P14" s="36"/>
    </row>
    <row r="15" spans="1:16" ht="14.4">
      <c r="A15" s="26" t="s">
        <v>141</v>
      </c>
      <c r="B15" s="26">
        <v>1600</v>
      </c>
      <c r="C15" s="26">
        <v>1200</v>
      </c>
      <c r="D15" s="26">
        <v>2000</v>
      </c>
      <c r="E15" s="26">
        <v>800</v>
      </c>
      <c r="F15" s="26">
        <v>1700</v>
      </c>
      <c r="G15" s="26">
        <v>800</v>
      </c>
      <c r="H15" s="6">
        <f t="shared" si="0"/>
        <v>8100</v>
      </c>
      <c r="I15" s="26">
        <v>10000</v>
      </c>
      <c r="J15" s="6" t="str">
        <f t="shared" si="1"/>
        <v>not achieved</v>
      </c>
      <c r="K15" s="26" t="s">
        <v>141</v>
      </c>
      <c r="M15" s="26" t="s">
        <v>137</v>
      </c>
      <c r="N15" s="5" t="e">
        <f>LOOKUP(M15,A5:B15,2000)</f>
        <v>#N/A</v>
      </c>
      <c r="P15" s="36"/>
    </row>
    <row r="17" spans="1:15" ht="19.5" customHeight="1">
      <c r="A17" s="11" t="s">
        <v>142</v>
      </c>
      <c r="B17" s="11"/>
      <c r="C17" s="11"/>
      <c r="D17" s="11"/>
      <c r="E17" s="11"/>
      <c r="H17" s="5" t="s">
        <v>143</v>
      </c>
      <c r="J17" s="37"/>
      <c r="M17" s="283" t="s">
        <v>1224</v>
      </c>
    </row>
    <row r="18" spans="1:15" ht="19.5" customHeight="1">
      <c r="A18" s="11" t="s">
        <v>144</v>
      </c>
      <c r="B18" s="11"/>
      <c r="C18" s="11"/>
      <c r="D18" s="11"/>
      <c r="E18" s="11"/>
      <c r="H18" s="5" t="s">
        <v>145</v>
      </c>
      <c r="J18" s="5"/>
      <c r="K18" s="5"/>
      <c r="M18" s="5" t="str">
        <f>IF(H5&gt;I5,"ACHIEVED","NOT")</f>
        <v>ACHIEVED</v>
      </c>
    </row>
    <row r="19" spans="1:15" ht="19.5" customHeight="1">
      <c r="A19" s="11" t="s">
        <v>146</v>
      </c>
      <c r="B19" s="11"/>
      <c r="C19" s="11"/>
      <c r="D19" s="11"/>
      <c r="E19" s="11"/>
      <c r="H19" s="5" t="s">
        <v>94</v>
      </c>
      <c r="J19" s="5"/>
      <c r="K19" s="5"/>
      <c r="M19" s="5" t="str">
        <f t="shared" ref="M19:M28" si="2">IF(H6&gt;I6,"ACHIEVED","NOT")</f>
        <v>NOT</v>
      </c>
      <c r="O19" s="5"/>
    </row>
    <row r="20" spans="1:15" ht="19.5" customHeight="1">
      <c r="A20" s="11" t="s">
        <v>147</v>
      </c>
      <c r="B20" s="11"/>
      <c r="C20" s="11"/>
      <c r="D20" s="11"/>
      <c r="E20" s="11"/>
      <c r="G20" s="5">
        <f>COUNTIF(J5:J15,J8)</f>
        <v>6</v>
      </c>
      <c r="H20" s="5" t="s">
        <v>30</v>
      </c>
      <c r="I20" s="36">
        <f>COUNTIF(J5:J15,"Achieved")</f>
        <v>6</v>
      </c>
      <c r="M20" s="5" t="str">
        <f t="shared" si="2"/>
        <v>NOT</v>
      </c>
      <c r="N20" s="5"/>
    </row>
    <row r="21" spans="1:15" ht="19.5" customHeight="1">
      <c r="A21" s="11" t="s">
        <v>148</v>
      </c>
      <c r="B21" s="11"/>
      <c r="C21" s="11"/>
      <c r="D21" s="11"/>
      <c r="E21" s="11"/>
      <c r="H21" s="5" t="s">
        <v>149</v>
      </c>
      <c r="M21" s="5" t="str">
        <f t="shared" si="2"/>
        <v>ACHIEVED</v>
      </c>
    </row>
    <row r="22" spans="1:15" ht="15.75" customHeight="1">
      <c r="M22" s="5" t="str">
        <f t="shared" si="2"/>
        <v>ACHIEVED</v>
      </c>
    </row>
    <row r="23" spans="1:15" ht="15.75" customHeight="1">
      <c r="F23" s="5"/>
      <c r="M23" s="5" t="str">
        <f t="shared" si="2"/>
        <v>NOT</v>
      </c>
    </row>
    <row r="24" spans="1:15" ht="15.75" customHeight="1">
      <c r="F24" s="5"/>
      <c r="M24" s="5" t="str">
        <f t="shared" si="2"/>
        <v>ACHIEVED</v>
      </c>
    </row>
    <row r="25" spans="1:15" ht="15.75" customHeight="1">
      <c r="M25" s="5" t="str">
        <f t="shared" si="2"/>
        <v>NOT</v>
      </c>
    </row>
    <row r="26" spans="1:15" ht="15.75" customHeight="1">
      <c r="E26" s="283" t="s">
        <v>1226</v>
      </c>
      <c r="I26" s="23"/>
      <c r="J26" s="23"/>
      <c r="M26" s="5" t="str">
        <f t="shared" si="2"/>
        <v>ACHIEVED</v>
      </c>
    </row>
    <row r="27" spans="1:15" ht="15.75" customHeight="1">
      <c r="E27" s="5"/>
      <c r="H27" s="25"/>
      <c r="M27" s="5" t="str">
        <f t="shared" si="2"/>
        <v>ACHIEVED</v>
      </c>
    </row>
    <row r="28" spans="1:15" ht="15.75" customHeight="1">
      <c r="E28">
        <f>COUNTIF(J5:J15,"ACHIEVED")</f>
        <v>6</v>
      </c>
      <c r="M28" s="5" t="str">
        <f t="shared" si="2"/>
        <v>NOT</v>
      </c>
    </row>
    <row r="29" spans="1:15" ht="15.75" customHeight="1">
      <c r="H29" s="25"/>
      <c r="M29" s="5"/>
    </row>
    <row r="30" spans="1:15" ht="15.75" customHeight="1">
      <c r="M30" s="5"/>
    </row>
    <row r="31" spans="1:15" ht="15.75" customHeight="1">
      <c r="M31" s="5"/>
    </row>
    <row r="32" spans="1:15" ht="15.75" customHeight="1">
      <c r="M32" s="5"/>
    </row>
    <row r="33" spans="13:13" ht="15.75" customHeight="1">
      <c r="M33" s="5"/>
    </row>
    <row r="34" spans="13:13" ht="15.75" customHeight="1"/>
    <row r="35" spans="13:13" ht="15.75" customHeight="1"/>
    <row r="36" spans="13:13" ht="15.75" customHeight="1"/>
    <row r="37" spans="13:13" ht="15.75" customHeight="1"/>
    <row r="38" spans="13:13" ht="15.75" customHeight="1"/>
    <row r="39" spans="13:13" ht="15.75" customHeight="1"/>
    <row r="40" spans="13:13" ht="15.75" customHeight="1"/>
    <row r="41" spans="13:13" ht="15.75" customHeight="1"/>
    <row r="42" spans="13:13" ht="15.75" customHeight="1"/>
    <row r="43" spans="13:13" ht="15.75" customHeight="1"/>
    <row r="44" spans="13:13" ht="15.75" customHeight="1"/>
    <row r="45" spans="13:13" ht="15.75" customHeight="1"/>
    <row r="46" spans="13:13" ht="15.75" customHeight="1"/>
    <row r="47" spans="13:13" ht="15.75" customHeight="1"/>
    <row r="48" spans="13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 count="1">
    <dataValidation type="list" allowBlank="1" sqref="O19" xr:uid="{00000000-0002-0000-0400-000000000000}">
      <formula1>$A$5:$A$15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topLeftCell="A4" workbookViewId="0">
      <selection activeCell="F16" sqref="F16"/>
    </sheetView>
  </sheetViews>
  <sheetFormatPr defaultColWidth="14.44140625" defaultRowHeight="15" customHeight="1"/>
  <cols>
    <col min="1" max="1" width="21.88671875" customWidth="1"/>
    <col min="2" max="2" width="22.33203125" customWidth="1"/>
    <col min="3" max="3" width="24.6640625" customWidth="1"/>
    <col min="4" max="4" width="18.33203125" customWidth="1"/>
    <col min="5" max="8" width="8" customWidth="1"/>
    <col min="9" max="9" width="8.6640625" customWidth="1"/>
    <col min="10" max="26" width="8" customWidth="1"/>
  </cols>
  <sheetData>
    <row r="1" spans="1:11" ht="18.75" customHeight="1">
      <c r="A1" s="38" t="str">
        <f ca="1">IFERROR(__xludf.DUMMYFUNCTION("FILTER(A4:C11,A6)"),"#N/A")</f>
        <v>#N/A</v>
      </c>
      <c r="B1" s="1"/>
      <c r="C1" s="1"/>
      <c r="D1" s="14"/>
      <c r="E1" s="14"/>
      <c r="F1" s="14"/>
      <c r="G1" s="14"/>
      <c r="H1" s="14"/>
    </row>
    <row r="2" spans="1:11" ht="14.4">
      <c r="A2" s="303" t="s">
        <v>150</v>
      </c>
      <c r="B2" s="301"/>
      <c r="C2" s="301"/>
      <c r="D2" s="11"/>
      <c r="E2" s="11"/>
      <c r="F2" s="11"/>
      <c r="G2" s="11"/>
      <c r="H2" s="11"/>
    </row>
    <row r="4" spans="1:11" ht="14.4">
      <c r="A4" s="39" t="s">
        <v>151</v>
      </c>
      <c r="B4" s="40" t="s">
        <v>152</v>
      </c>
      <c r="C4" s="41" t="s">
        <v>153</v>
      </c>
      <c r="D4" s="5"/>
    </row>
    <row r="5" spans="1:11" ht="14.4">
      <c r="A5" s="42" t="s">
        <v>154</v>
      </c>
      <c r="B5" s="43">
        <v>42370</v>
      </c>
      <c r="C5" s="44">
        <v>800</v>
      </c>
      <c r="D5" s="5"/>
    </row>
    <row r="6" spans="1:11" ht="14.4">
      <c r="A6" s="42" t="s">
        <v>155</v>
      </c>
      <c r="B6" s="43">
        <v>42502</v>
      </c>
      <c r="C6" s="44">
        <v>2000</v>
      </c>
      <c r="D6" s="5"/>
    </row>
    <row r="7" spans="1:11" ht="14.4">
      <c r="A7" s="42" t="s">
        <v>154</v>
      </c>
      <c r="B7" s="43">
        <v>42508</v>
      </c>
      <c r="C7" s="44">
        <v>500</v>
      </c>
      <c r="D7" s="5"/>
    </row>
    <row r="8" spans="1:11" ht="14.4">
      <c r="A8" s="42" t="s">
        <v>156</v>
      </c>
      <c r="B8" s="43">
        <v>42510</v>
      </c>
      <c r="C8" s="44">
        <v>800</v>
      </c>
      <c r="D8" s="5"/>
    </row>
    <row r="9" spans="1:11" ht="14.4">
      <c r="A9" s="42" t="s">
        <v>156</v>
      </c>
      <c r="B9" s="43">
        <v>42410</v>
      </c>
      <c r="C9" s="44">
        <v>1000</v>
      </c>
      <c r="D9" s="5"/>
    </row>
    <row r="10" spans="1:11" ht="14.4">
      <c r="A10" s="42" t="s">
        <v>157</v>
      </c>
      <c r="B10" s="43">
        <v>42498</v>
      </c>
      <c r="C10" s="44">
        <v>1000</v>
      </c>
      <c r="D10" s="5"/>
      <c r="F10" t="str">
        <f>HLOOKUP(A4,A4:A23,15,FALSE)</f>
        <v>WINDOW</v>
      </c>
    </row>
    <row r="11" spans="1:11" ht="14.4">
      <c r="A11" s="42" t="s">
        <v>155</v>
      </c>
      <c r="B11" s="43">
        <v>42500</v>
      </c>
      <c r="C11" s="44">
        <v>1200</v>
      </c>
      <c r="D11" s="5"/>
      <c r="K11" s="42"/>
    </row>
    <row r="12" spans="1:11" ht="14.4">
      <c r="A12" s="42" t="s">
        <v>155</v>
      </c>
      <c r="B12" s="43">
        <v>42515</v>
      </c>
      <c r="C12" s="44">
        <v>1500</v>
      </c>
      <c r="D12" s="5"/>
      <c r="K12" s="5"/>
    </row>
    <row r="13" spans="1:11" ht="14.4">
      <c r="A13" s="42" t="s">
        <v>158</v>
      </c>
      <c r="B13" s="43">
        <v>42561</v>
      </c>
      <c r="C13" s="44">
        <v>1800</v>
      </c>
      <c r="D13" s="5"/>
      <c r="F13" t="str">
        <f>HLOOKUP(A4,A4:A23,18,FALSE)</f>
        <v>BRAKES</v>
      </c>
      <c r="K13" s="5"/>
    </row>
    <row r="14" spans="1:11" ht="14.4">
      <c r="A14" s="42" t="s">
        <v>155</v>
      </c>
      <c r="B14" s="43">
        <v>42379</v>
      </c>
      <c r="C14" s="44">
        <v>2000</v>
      </c>
      <c r="D14" s="5"/>
    </row>
    <row r="15" spans="1:11" ht="14.4">
      <c r="A15" s="42" t="s">
        <v>158</v>
      </c>
      <c r="B15" s="43">
        <v>42536</v>
      </c>
      <c r="C15" s="44">
        <v>1500</v>
      </c>
      <c r="D15" s="5"/>
      <c r="F15" t="str">
        <f>HLOOKUP(A4,A4:A23,20,FALSE)</f>
        <v>WINDOW</v>
      </c>
    </row>
    <row r="16" spans="1:11" ht="14.4">
      <c r="A16" s="42" t="s">
        <v>158</v>
      </c>
      <c r="B16" s="43">
        <v>42381</v>
      </c>
      <c r="C16" s="44">
        <v>1000</v>
      </c>
      <c r="D16" s="5"/>
    </row>
    <row r="17" spans="1:14" ht="14.4">
      <c r="A17" s="42" t="s">
        <v>157</v>
      </c>
      <c r="B17" s="43">
        <v>42370</v>
      </c>
      <c r="C17" s="44">
        <v>1200</v>
      </c>
      <c r="D17" s="5"/>
    </row>
    <row r="18" spans="1:14" ht="14.4">
      <c r="A18" s="42" t="s">
        <v>157</v>
      </c>
      <c r="B18" s="43">
        <v>42500</v>
      </c>
      <c r="C18" s="44">
        <v>1500</v>
      </c>
      <c r="D18" s="5"/>
    </row>
    <row r="19" spans="1:14" ht="14.4">
      <c r="A19" s="42" t="s">
        <v>157</v>
      </c>
      <c r="B19" s="43">
        <v>42500</v>
      </c>
      <c r="C19" s="44">
        <v>1800</v>
      </c>
      <c r="D19" s="5"/>
      <c r="N19" s="5"/>
    </row>
    <row r="20" spans="1:14" ht="14.4">
      <c r="A20" s="42" t="s">
        <v>154</v>
      </c>
      <c r="B20" s="43">
        <v>42500</v>
      </c>
      <c r="C20" s="44">
        <v>1000</v>
      </c>
      <c r="D20" s="5"/>
    </row>
    <row r="21" spans="1:14" ht="15.75" customHeight="1">
      <c r="A21" s="42" t="s">
        <v>154</v>
      </c>
      <c r="B21" s="43">
        <v>42596</v>
      </c>
      <c r="C21" s="44">
        <v>1200</v>
      </c>
      <c r="D21" s="5"/>
    </row>
    <row r="22" spans="1:14" ht="15.75" customHeight="1">
      <c r="A22" s="42" t="s">
        <v>155</v>
      </c>
      <c r="B22" s="43">
        <v>42597</v>
      </c>
      <c r="C22" s="44">
        <v>1500</v>
      </c>
      <c r="D22" s="5"/>
    </row>
    <row r="23" spans="1:14" ht="15.75" customHeight="1">
      <c r="A23" s="45" t="s">
        <v>157</v>
      </c>
      <c r="B23" s="46">
        <v>42602</v>
      </c>
      <c r="C23" s="47">
        <v>1800</v>
      </c>
      <c r="D23" s="5"/>
    </row>
    <row r="24" spans="1:14" ht="15.75" customHeight="1">
      <c r="E24" s="283" t="s">
        <v>1223</v>
      </c>
      <c r="F24">
        <f>COUNTA(A5:A23)</f>
        <v>19</v>
      </c>
    </row>
    <row r="25" spans="1:14" ht="15.75" customHeight="1">
      <c r="A25" s="11" t="s">
        <v>159</v>
      </c>
      <c r="B25" s="11"/>
      <c r="D25" s="5" t="s">
        <v>39</v>
      </c>
      <c r="E25" s="283" t="s">
        <v>1224</v>
      </c>
      <c r="F25">
        <f>COUNTIF(A5:A23,"BRAKES")</f>
        <v>4</v>
      </c>
      <c r="G25">
        <f>COUNTIF(A5:A23,"WINDOW")</f>
        <v>5</v>
      </c>
      <c r="H25">
        <f>COUNTIF(A5:A23,"TYRES")</f>
        <v>5</v>
      </c>
    </row>
    <row r="26" spans="1:14" ht="15.75" customHeight="1">
      <c r="A26" s="11" t="s">
        <v>160</v>
      </c>
      <c r="B26" s="11"/>
      <c r="D26" s="5" t="s">
        <v>30</v>
      </c>
      <c r="E26" s="5"/>
      <c r="I26" s="5"/>
    </row>
    <row r="27" spans="1:14" ht="15.75" customHeight="1">
      <c r="A27" s="11" t="s">
        <v>161</v>
      </c>
      <c r="B27" s="11"/>
      <c r="C27" s="5">
        <v>2000</v>
      </c>
      <c r="D27" s="5" t="s">
        <v>30</v>
      </c>
      <c r="E27" s="283" t="s">
        <v>1225</v>
      </c>
      <c r="F27">
        <f>COUNTIF(C5:C23,"&gt;1000")</f>
        <v>12</v>
      </c>
      <c r="G27" s="5"/>
      <c r="H27" s="5"/>
    </row>
    <row r="28" spans="1:14" ht="15.75" customHeight="1">
      <c r="A28" s="11" t="s">
        <v>162</v>
      </c>
      <c r="B28" s="11"/>
      <c r="D28" s="5" t="s">
        <v>163</v>
      </c>
      <c r="G28" s="5"/>
    </row>
    <row r="29" spans="1:14" ht="15.75" customHeight="1">
      <c r="A29" s="11" t="s">
        <v>164</v>
      </c>
      <c r="B29" s="11"/>
      <c r="D29" s="5" t="s">
        <v>165</v>
      </c>
    </row>
    <row r="30" spans="1:14" ht="15.75" customHeight="1">
      <c r="A30" s="11" t="s">
        <v>166</v>
      </c>
      <c r="B30" s="11"/>
      <c r="D30" s="5" t="s">
        <v>34</v>
      </c>
      <c r="E30" s="283" t="s">
        <v>1228</v>
      </c>
      <c r="F30">
        <f>SUMIF(A5:A23,"WINDOW",C5:C23)</f>
        <v>7300</v>
      </c>
    </row>
    <row r="31" spans="1:14" ht="15.75" customHeight="1">
      <c r="F31">
        <f>SUMIF(A5:A23,"BRAKES",C5:C23)</f>
        <v>3500</v>
      </c>
    </row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C23" xr:uid="{00000000-0009-0000-0000-000005000000}"/>
  <mergeCells count="1">
    <mergeCell ref="A2:C2"/>
  </mergeCells>
  <conditionalFormatting sqref="A5:A13">
    <cfRule type="containsText" dxfId="9" priority="4" operator="containsText" text="BRAKES">
      <formula>NOT(ISERROR(SEARCH(("BRAKES"),(A5))))</formula>
    </cfRule>
  </conditionalFormatting>
  <conditionalFormatting sqref="A5:A23">
    <cfRule type="containsText" dxfId="8" priority="1" operator="containsText" text="TYRES">
      <formula>NOT(ISERROR(SEARCH("TYRES",A5)))</formula>
    </cfRule>
  </conditionalFormatting>
  <conditionalFormatting sqref="A5:C23">
    <cfRule type="containsText" dxfId="7" priority="3" operator="containsText" text="BRAKES">
      <formula>NOT(ISERROR(SEARCH("BRAKES",A5)))</formula>
    </cfRule>
  </conditionalFormatting>
  <conditionalFormatting sqref="C5:C23">
    <cfRule type="containsText" dxfId="6" priority="2" operator="containsText" text="BRAKES">
      <formula>NOT(ISERROR(SEARCH("BRAKES",C5)))</formula>
    </cfRule>
    <cfRule type="cellIs" dxfId="5" priority="5" operator="equal">
      <formula>1500</formula>
    </cfRule>
  </conditionalFormatting>
  <dataValidations count="1">
    <dataValidation type="list" allowBlank="1" sqref="I26" xr:uid="{00000000-0002-0000-0500-000000000000}">
      <formula1>$A$5:$A$23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0"/>
  <sheetViews>
    <sheetView topLeftCell="A10" workbookViewId="0">
      <selection activeCell="B27" sqref="B27"/>
    </sheetView>
  </sheetViews>
  <sheetFormatPr defaultColWidth="14.44140625" defaultRowHeight="15" customHeight="1"/>
  <cols>
    <col min="1" max="1" width="12.88671875" customWidth="1"/>
    <col min="2" max="2" width="14" customWidth="1"/>
    <col min="3" max="3" width="20" customWidth="1"/>
    <col min="4" max="4" width="19" customWidth="1"/>
    <col min="5" max="5" width="20.88671875" customWidth="1"/>
    <col min="6" max="6" width="16.109375" customWidth="1"/>
    <col min="7" max="7" width="15.109375" customWidth="1"/>
    <col min="8" max="8" width="16.109375" customWidth="1"/>
    <col min="9" max="9" width="13" customWidth="1"/>
    <col min="10" max="11" width="8" customWidth="1"/>
    <col min="12" max="12" width="11.33203125" customWidth="1"/>
    <col min="13" max="26" width="8" customWidth="1"/>
  </cols>
  <sheetData>
    <row r="1" spans="1:12" ht="18.75" customHeight="1">
      <c r="A1" s="300" t="s">
        <v>167</v>
      </c>
      <c r="B1" s="301"/>
      <c r="C1" s="301"/>
      <c r="D1" s="301"/>
      <c r="E1" s="301"/>
      <c r="F1" s="301"/>
      <c r="G1" s="301"/>
    </row>
    <row r="2" spans="1:12" ht="14.4">
      <c r="A2" s="11" t="s">
        <v>168</v>
      </c>
      <c r="B2" s="11"/>
      <c r="C2" s="11"/>
    </row>
    <row r="4" spans="1:12" ht="14.4">
      <c r="A4" s="48" t="s">
        <v>169</v>
      </c>
      <c r="B4" s="49" t="s">
        <v>170</v>
      </c>
      <c r="C4" s="49" t="s">
        <v>171</v>
      </c>
      <c r="D4" s="49" t="s">
        <v>172</v>
      </c>
      <c r="E4" s="50" t="s">
        <v>173</v>
      </c>
      <c r="H4" s="51"/>
      <c r="I4" s="52"/>
    </row>
    <row r="5" spans="1:12" ht="14.4">
      <c r="A5" s="25" t="s">
        <v>136</v>
      </c>
      <c r="B5" s="53">
        <v>29356</v>
      </c>
      <c r="C5" s="6">
        <f t="shared" ref="C5:C15" ca="1" si="0">DATEDIF(B5,TODAY(),"md")</f>
        <v>12</v>
      </c>
      <c r="D5" s="6">
        <f t="shared" ref="D5:D15" ca="1" si="1">DATEDIF(B5,TODAY(),"ym")</f>
        <v>9</v>
      </c>
      <c r="E5" s="27">
        <f t="shared" ref="E5:E15" ca="1" si="2">DATEDIF(B5,TODAY(),"y")</f>
        <v>45</v>
      </c>
      <c r="F5" s="5"/>
      <c r="G5" s="5"/>
      <c r="H5" s="51"/>
    </row>
    <row r="6" spans="1:12" ht="14.4">
      <c r="A6" s="25" t="s">
        <v>114</v>
      </c>
      <c r="B6" s="53">
        <v>29818</v>
      </c>
      <c r="C6" s="6">
        <f t="shared" ca="1" si="0"/>
        <v>7</v>
      </c>
      <c r="D6" s="6">
        <f t="shared" ca="1" si="1"/>
        <v>6</v>
      </c>
      <c r="E6" s="27">
        <f t="shared" ca="1" si="2"/>
        <v>44</v>
      </c>
      <c r="F6" s="5"/>
      <c r="H6" s="5"/>
      <c r="I6" s="5"/>
      <c r="J6" s="5"/>
    </row>
    <row r="7" spans="1:12" ht="14.4">
      <c r="A7" s="25" t="s">
        <v>112</v>
      </c>
      <c r="B7" s="53">
        <v>37909</v>
      </c>
      <c r="C7" s="6">
        <f t="shared" ca="1" si="0"/>
        <v>12</v>
      </c>
      <c r="D7" s="6">
        <f t="shared" ca="1" si="1"/>
        <v>4</v>
      </c>
      <c r="E7" s="27">
        <f t="shared" ca="1" si="2"/>
        <v>22</v>
      </c>
      <c r="F7" s="5"/>
      <c r="G7" s="54"/>
      <c r="H7" s="5"/>
      <c r="I7" s="5"/>
      <c r="J7" s="5"/>
    </row>
    <row r="8" spans="1:12" ht="14.4">
      <c r="A8" s="25" t="s">
        <v>22</v>
      </c>
      <c r="B8" s="53">
        <v>33018</v>
      </c>
      <c r="C8" s="6">
        <f t="shared" ca="1" si="0"/>
        <v>2</v>
      </c>
      <c r="D8" s="6">
        <f t="shared" ca="1" si="1"/>
        <v>9</v>
      </c>
      <c r="E8" s="27">
        <f t="shared" ca="1" si="2"/>
        <v>35</v>
      </c>
      <c r="F8" s="5"/>
    </row>
    <row r="9" spans="1:12" ht="14.4">
      <c r="A9" s="25" t="s">
        <v>17</v>
      </c>
      <c r="B9" s="53">
        <v>33840</v>
      </c>
      <c r="C9" s="6">
        <f t="shared" ca="1" si="0"/>
        <v>3</v>
      </c>
      <c r="D9" s="6">
        <f t="shared" ca="1" si="1"/>
        <v>6</v>
      </c>
      <c r="E9" s="27">
        <f t="shared" ca="1" si="2"/>
        <v>33</v>
      </c>
      <c r="F9" s="5"/>
      <c r="L9" s="54"/>
    </row>
    <row r="10" spans="1:12" ht="14.4">
      <c r="A10" s="25" t="s">
        <v>13</v>
      </c>
      <c r="B10" s="53">
        <v>36030</v>
      </c>
      <c r="C10" s="6">
        <f t="shared" ca="1" si="0"/>
        <v>4</v>
      </c>
      <c r="D10" s="6">
        <f t="shared" ca="1" si="1"/>
        <v>6</v>
      </c>
      <c r="E10" s="27">
        <f t="shared" ca="1" si="2"/>
        <v>27</v>
      </c>
      <c r="F10" s="5"/>
    </row>
    <row r="11" spans="1:12" ht="14.4">
      <c r="A11" s="25" t="s">
        <v>137</v>
      </c>
      <c r="B11" s="53">
        <v>29353</v>
      </c>
      <c r="C11" s="6">
        <f t="shared" ca="1" si="0"/>
        <v>15</v>
      </c>
      <c r="D11" s="6">
        <f t="shared" ca="1" si="1"/>
        <v>9</v>
      </c>
      <c r="E11" s="27">
        <f t="shared" ca="1" si="2"/>
        <v>45</v>
      </c>
      <c r="F11" s="5"/>
    </row>
    <row r="12" spans="1:12" ht="14.4">
      <c r="A12" s="25" t="s">
        <v>138</v>
      </c>
      <c r="B12" s="53">
        <v>38429</v>
      </c>
      <c r="C12" s="6">
        <f t="shared" ca="1" si="0"/>
        <v>9</v>
      </c>
      <c r="D12" s="6">
        <f t="shared" ca="1" si="1"/>
        <v>11</v>
      </c>
      <c r="E12" s="27">
        <f t="shared" ca="1" si="2"/>
        <v>20</v>
      </c>
      <c r="F12" s="5"/>
    </row>
    <row r="13" spans="1:12" ht="14.4">
      <c r="A13" s="25" t="s">
        <v>139</v>
      </c>
      <c r="B13" s="53">
        <v>39309</v>
      </c>
      <c r="C13" s="6">
        <f t="shared" ca="1" si="0"/>
        <v>12</v>
      </c>
      <c r="D13" s="6">
        <f t="shared" ca="1" si="1"/>
        <v>6</v>
      </c>
      <c r="E13" s="27">
        <f t="shared" ca="1" si="2"/>
        <v>18</v>
      </c>
      <c r="F13" s="5"/>
    </row>
    <row r="14" spans="1:12" ht="14.4">
      <c r="A14" s="25" t="s">
        <v>140</v>
      </c>
      <c r="B14" s="53">
        <v>40323</v>
      </c>
      <c r="C14" s="6">
        <f t="shared" ca="1" si="0"/>
        <v>2</v>
      </c>
      <c r="D14" s="6">
        <f t="shared" ca="1" si="1"/>
        <v>9</v>
      </c>
      <c r="E14" s="27">
        <f t="shared" ca="1" si="2"/>
        <v>15</v>
      </c>
      <c r="F14" s="5"/>
    </row>
    <row r="15" spans="1:12" ht="14.4">
      <c r="A15" s="28" t="s">
        <v>141</v>
      </c>
      <c r="B15" s="55">
        <v>34206</v>
      </c>
      <c r="C15" s="6">
        <f t="shared" ca="1" si="0"/>
        <v>2</v>
      </c>
      <c r="D15" s="6">
        <f t="shared" ca="1" si="1"/>
        <v>6</v>
      </c>
      <c r="E15" s="27">
        <f t="shared" ca="1" si="2"/>
        <v>32</v>
      </c>
      <c r="F15" s="5"/>
    </row>
    <row r="17" spans="1:10" ht="19.5" customHeight="1">
      <c r="A17" s="11" t="s">
        <v>175</v>
      </c>
      <c r="B17" s="11"/>
      <c r="C17" s="11"/>
      <c r="E17" s="283" t="s">
        <v>1223</v>
      </c>
      <c r="F17" s="56">
        <f>COUNTA(A5:A15)</f>
        <v>11</v>
      </c>
      <c r="H17" s="5"/>
    </row>
    <row r="18" spans="1:10" ht="19.5" customHeight="1">
      <c r="A18" s="11" t="s">
        <v>176</v>
      </c>
      <c r="B18" s="11"/>
      <c r="C18" s="11"/>
      <c r="E18" s="283" t="s">
        <v>1224</v>
      </c>
      <c r="F18" s="56">
        <f ca="1">SUMIF(A5:A15,"SURENDRA",E5:E15)</f>
        <v>15</v>
      </c>
      <c r="H18" s="5"/>
    </row>
    <row r="19" spans="1:10" ht="19.5" customHeight="1">
      <c r="A19" s="11" t="s">
        <v>177</v>
      </c>
      <c r="B19" s="11"/>
      <c r="C19" s="11"/>
      <c r="E19" s="283" t="s">
        <v>1225</v>
      </c>
      <c r="F19" s="56">
        <f ca="1">COUNTIF(E5:E15,"&gt;20")</f>
        <v>8</v>
      </c>
      <c r="H19" s="5"/>
    </row>
    <row r="20" spans="1:10" ht="19.5" customHeight="1">
      <c r="A20" s="11" t="s">
        <v>178</v>
      </c>
      <c r="B20" s="11"/>
      <c r="C20" s="11"/>
      <c r="E20" s="283" t="s">
        <v>1226</v>
      </c>
      <c r="F20" s="56" t="str">
        <f ca="1">IF(E5&gt;20,"ADULT","CHILD")</f>
        <v>ADULT</v>
      </c>
    </row>
    <row r="21" spans="1:10" ht="19.5" customHeight="1">
      <c r="A21" s="11" t="s">
        <v>179</v>
      </c>
      <c r="B21" s="11"/>
      <c r="C21" s="11"/>
      <c r="F21" s="56" t="str">
        <f t="shared" ref="F21:F29" ca="1" si="3">IF(E6&gt;20,"ADULT","CHILD")</f>
        <v>ADULT</v>
      </c>
      <c r="I21" s="5"/>
      <c r="J21" s="5"/>
    </row>
    <row r="22" spans="1:10" ht="15.75" customHeight="1">
      <c r="F22" s="56" t="str">
        <f t="shared" ca="1" si="3"/>
        <v>ADULT</v>
      </c>
    </row>
    <row r="23" spans="1:10" ht="15.75" customHeight="1">
      <c r="F23" s="56" t="str">
        <f t="shared" ca="1" si="3"/>
        <v>ADULT</v>
      </c>
    </row>
    <row r="24" spans="1:10" ht="15.75" customHeight="1">
      <c r="F24" s="56" t="str">
        <f t="shared" ca="1" si="3"/>
        <v>ADULT</v>
      </c>
    </row>
    <row r="25" spans="1:10" ht="15.75" customHeight="1">
      <c r="B25" s="283" t="s">
        <v>1227</v>
      </c>
      <c r="F25" s="56" t="str">
        <f t="shared" ca="1" si="3"/>
        <v>ADULT</v>
      </c>
    </row>
    <row r="26" spans="1:10" ht="15.75" customHeight="1">
      <c r="B26">
        <f ca="1">COUNTIF(E5:E15,"&gt;=25")</f>
        <v>7</v>
      </c>
      <c r="F26" s="56" t="str">
        <f t="shared" ca="1" si="3"/>
        <v>ADULT</v>
      </c>
    </row>
    <row r="27" spans="1:10" ht="15.75" customHeight="1">
      <c r="F27" s="56" t="str">
        <f t="shared" ca="1" si="3"/>
        <v>CHILD</v>
      </c>
    </row>
    <row r="28" spans="1:10" ht="15.75" customHeight="1">
      <c r="F28" s="56" t="str">
        <f t="shared" ca="1" si="3"/>
        <v>CHILD</v>
      </c>
    </row>
    <row r="29" spans="1:10" ht="15.75" customHeight="1">
      <c r="F29" s="56" t="str">
        <f t="shared" ca="1" si="3"/>
        <v>CHILD</v>
      </c>
    </row>
    <row r="30" spans="1:10" ht="15.75" customHeight="1">
      <c r="F30" s="56" t="str">
        <f ca="1">IF(E15&gt;20,"ADULT","CHILD")</f>
        <v>ADULT</v>
      </c>
    </row>
    <row r="31" spans="1:10" ht="15.75" customHeight="1">
      <c r="F31" s="56"/>
    </row>
    <row r="32" spans="1:10" ht="15.75" customHeight="1">
      <c r="F32" s="56"/>
    </row>
    <row r="33" spans="6:6" ht="15.75" customHeight="1">
      <c r="F33" s="56"/>
    </row>
    <row r="34" spans="6:6" ht="15.75" customHeight="1">
      <c r="F34" s="56"/>
    </row>
    <row r="35" spans="6:6" ht="15.75" customHeight="1">
      <c r="F35" s="56"/>
    </row>
    <row r="36" spans="6:6" ht="15.75" customHeight="1">
      <c r="F36" s="56"/>
    </row>
    <row r="37" spans="6:6" ht="15.75" customHeight="1">
      <c r="F37" s="56"/>
    </row>
    <row r="38" spans="6:6" ht="15.75" customHeight="1">
      <c r="F38" s="56"/>
    </row>
    <row r="39" spans="6:6" ht="15.75" customHeight="1">
      <c r="F39" s="56"/>
    </row>
    <row r="40" spans="6:6" ht="15.75" customHeight="1">
      <c r="F40" s="56"/>
    </row>
    <row r="41" spans="6:6" ht="15.75" customHeight="1">
      <c r="F41" s="56"/>
    </row>
    <row r="42" spans="6:6" ht="15.75" customHeight="1">
      <c r="F42" s="56"/>
    </row>
    <row r="43" spans="6:6" ht="15.75" customHeight="1">
      <c r="F43" s="56"/>
    </row>
    <row r="44" spans="6:6" ht="15.75" customHeight="1">
      <c r="F44" s="56"/>
    </row>
    <row r="45" spans="6:6" ht="15.75" customHeight="1">
      <c r="F45" s="56"/>
    </row>
    <row r="46" spans="6:6" ht="15.75" customHeight="1">
      <c r="F46" s="56"/>
    </row>
    <row r="47" spans="6:6" ht="15.75" customHeight="1">
      <c r="F47" s="56"/>
    </row>
    <row r="48" spans="6:6" ht="15.75" customHeight="1">
      <c r="F48" s="56"/>
    </row>
    <row r="49" spans="6:6" ht="15.75" customHeight="1">
      <c r="F49" s="56"/>
    </row>
    <row r="50" spans="6:6" ht="15.75" customHeight="1">
      <c r="F50" s="56"/>
    </row>
    <row r="51" spans="6:6" ht="15.75" customHeight="1">
      <c r="F51" s="56"/>
    </row>
    <row r="52" spans="6:6" ht="15.75" customHeight="1">
      <c r="F52" s="56"/>
    </row>
    <row r="53" spans="6:6" ht="15.75" customHeight="1">
      <c r="F53" s="56"/>
    </row>
    <row r="54" spans="6:6" ht="15.75" customHeight="1">
      <c r="F54" s="56"/>
    </row>
    <row r="55" spans="6:6" ht="15.75" customHeight="1">
      <c r="F55" s="56"/>
    </row>
    <row r="56" spans="6:6" ht="15.75" customHeight="1">
      <c r="F56" s="56"/>
    </row>
    <row r="57" spans="6:6" ht="15.75" customHeight="1">
      <c r="F57" s="56"/>
    </row>
    <row r="58" spans="6:6" ht="15.75" customHeight="1">
      <c r="F58" s="56"/>
    </row>
    <row r="59" spans="6:6" ht="15.75" customHeight="1">
      <c r="F59" s="56"/>
    </row>
    <row r="60" spans="6:6" ht="15.75" customHeight="1">
      <c r="F60" s="56"/>
    </row>
    <row r="61" spans="6:6" ht="15.75" customHeight="1">
      <c r="F61" s="56"/>
    </row>
    <row r="62" spans="6:6" ht="15.75" customHeight="1">
      <c r="F62" s="56"/>
    </row>
    <row r="63" spans="6:6" ht="15.75" customHeight="1">
      <c r="F63" s="56"/>
    </row>
    <row r="64" spans="6:6" ht="15.75" customHeight="1">
      <c r="F64" s="56"/>
    </row>
    <row r="65" spans="6:6" ht="15.75" customHeight="1">
      <c r="F65" s="56"/>
    </row>
    <row r="66" spans="6:6" ht="15.75" customHeight="1">
      <c r="F66" s="56"/>
    </row>
    <row r="67" spans="6:6" ht="15.75" customHeight="1">
      <c r="F67" s="56"/>
    </row>
    <row r="68" spans="6:6" ht="15.75" customHeight="1">
      <c r="F68" s="56"/>
    </row>
    <row r="69" spans="6:6" ht="15.75" customHeight="1">
      <c r="F69" s="56"/>
    </row>
    <row r="70" spans="6:6" ht="15.75" customHeight="1">
      <c r="F70" s="56"/>
    </row>
    <row r="71" spans="6:6" ht="15.75" customHeight="1">
      <c r="F71" s="56"/>
    </row>
    <row r="72" spans="6:6" ht="15.75" customHeight="1">
      <c r="F72" s="56"/>
    </row>
    <row r="73" spans="6:6" ht="15.75" customHeight="1">
      <c r="F73" s="56"/>
    </row>
    <row r="74" spans="6:6" ht="15.75" customHeight="1">
      <c r="F74" s="56"/>
    </row>
    <row r="75" spans="6:6" ht="15.75" customHeight="1">
      <c r="F75" s="56"/>
    </row>
    <row r="76" spans="6:6" ht="15.75" customHeight="1">
      <c r="F76" s="56"/>
    </row>
    <row r="77" spans="6:6" ht="15.75" customHeight="1"/>
    <row r="78" spans="6:6" ht="15.75" customHeight="1"/>
    <row r="79" spans="6:6" ht="15.75" customHeight="1"/>
    <row r="80" spans="6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topLeftCell="B12" workbookViewId="0">
      <selection activeCell="F27" sqref="F27"/>
    </sheetView>
  </sheetViews>
  <sheetFormatPr defaultColWidth="14.44140625" defaultRowHeight="15" customHeight="1"/>
  <cols>
    <col min="1" max="1" width="22.33203125" customWidth="1"/>
    <col min="2" max="2" width="8" customWidth="1"/>
    <col min="3" max="3" width="9.33203125" customWidth="1"/>
    <col min="4" max="4" width="13.109375" customWidth="1"/>
    <col min="5" max="5" width="7.109375" customWidth="1"/>
    <col min="6" max="6" width="20.109375" customWidth="1"/>
    <col min="7" max="7" width="30.33203125" customWidth="1"/>
    <col min="8" max="26" width="8" customWidth="1"/>
  </cols>
  <sheetData>
    <row r="1" spans="1:10" ht="18.75" customHeight="1">
      <c r="A1" s="300" t="s">
        <v>180</v>
      </c>
      <c r="B1" s="301"/>
      <c r="C1" s="301"/>
      <c r="D1" s="301"/>
      <c r="E1" s="301"/>
      <c r="F1" s="301"/>
      <c r="G1" s="301"/>
    </row>
    <row r="2" spans="1:10" ht="14.4">
      <c r="A2" s="304" t="s">
        <v>181</v>
      </c>
      <c r="B2" s="305"/>
      <c r="C2" s="305"/>
      <c r="D2" s="305"/>
      <c r="E2" s="305"/>
      <c r="F2" s="305"/>
      <c r="G2" s="305"/>
    </row>
    <row r="3" spans="1:10" ht="14.4">
      <c r="A3" s="57"/>
      <c r="B3" s="57"/>
      <c r="C3" s="57"/>
      <c r="D3" s="57"/>
      <c r="E3" s="57"/>
      <c r="F3" s="57"/>
      <c r="G3" s="57"/>
    </row>
    <row r="4" spans="1:10" ht="14.4">
      <c r="A4" s="3" t="s">
        <v>182</v>
      </c>
      <c r="B4" s="306" t="s">
        <v>183</v>
      </c>
      <c r="C4" s="307"/>
      <c r="D4" s="308"/>
      <c r="E4" s="306" t="s">
        <v>184</v>
      </c>
      <c r="F4" s="307"/>
      <c r="G4" s="308"/>
    </row>
    <row r="5" spans="1:10" ht="14.4">
      <c r="A5" s="58" t="s">
        <v>169</v>
      </c>
      <c r="B5" s="59" t="s">
        <v>185</v>
      </c>
      <c r="C5" s="59" t="s">
        <v>4</v>
      </c>
      <c r="D5" s="59" t="s">
        <v>6</v>
      </c>
      <c r="E5" s="59" t="s">
        <v>80</v>
      </c>
      <c r="F5" s="59" t="s">
        <v>186</v>
      </c>
      <c r="G5" s="60" t="s">
        <v>51</v>
      </c>
      <c r="I5" s="8"/>
    </row>
    <row r="6" spans="1:10" ht="14.4">
      <c r="A6" s="61" t="s">
        <v>187</v>
      </c>
      <c r="B6" s="62">
        <v>80</v>
      </c>
      <c r="C6" s="62">
        <v>75</v>
      </c>
      <c r="D6" s="62">
        <v>85</v>
      </c>
      <c r="E6" s="63">
        <f t="shared" ref="E6:E15" si="0">SUM(B6:D6)</f>
        <v>240</v>
      </c>
      <c r="F6" s="6">
        <f t="shared" ref="F6:F15" si="1">E6/3</f>
        <v>80</v>
      </c>
      <c r="G6" s="27" t="str">
        <f t="shared" ref="G6:G15" si="2">IF(F6&gt;70,"EXCELLENT",IF(F6&gt;50,"GOOD","BAD"))</f>
        <v>EXCELLENT</v>
      </c>
      <c r="I6" s="8"/>
      <c r="J6" s="5"/>
    </row>
    <row r="7" spans="1:10" ht="14.4">
      <c r="A7" s="61" t="s">
        <v>188</v>
      </c>
      <c r="B7" s="62">
        <v>50</v>
      </c>
      <c r="C7" s="62">
        <v>30</v>
      </c>
      <c r="D7" s="62">
        <v>40</v>
      </c>
      <c r="E7" s="63">
        <f t="shared" si="0"/>
        <v>120</v>
      </c>
      <c r="F7" s="6">
        <f t="shared" si="1"/>
        <v>40</v>
      </c>
      <c r="G7" s="27" t="str">
        <f t="shared" si="2"/>
        <v>BAD</v>
      </c>
      <c r="I7" s="8"/>
      <c r="J7" s="5"/>
    </row>
    <row r="8" spans="1:10" ht="14.4">
      <c r="A8" s="61" t="s">
        <v>189</v>
      </c>
      <c r="B8" s="62">
        <v>60</v>
      </c>
      <c r="C8" s="62">
        <v>70</v>
      </c>
      <c r="D8" s="62" t="s">
        <v>190</v>
      </c>
      <c r="E8" s="63">
        <f t="shared" si="0"/>
        <v>130</v>
      </c>
      <c r="F8" s="6">
        <f t="shared" si="1"/>
        <v>43.333333333333336</v>
      </c>
      <c r="G8" s="27" t="str">
        <f t="shared" si="2"/>
        <v>BAD</v>
      </c>
      <c r="I8" s="8"/>
      <c r="J8" s="5"/>
    </row>
    <row r="9" spans="1:10" ht="14.4">
      <c r="A9" s="61" t="s">
        <v>191</v>
      </c>
      <c r="B9" s="62">
        <v>90</v>
      </c>
      <c r="C9" s="62">
        <v>85</v>
      </c>
      <c r="D9" s="62">
        <v>95</v>
      </c>
      <c r="E9" s="63">
        <f t="shared" si="0"/>
        <v>270</v>
      </c>
      <c r="F9" s="6">
        <f t="shared" si="1"/>
        <v>90</v>
      </c>
      <c r="G9" s="27" t="str">
        <f t="shared" si="2"/>
        <v>EXCELLENT</v>
      </c>
      <c r="I9" s="8"/>
      <c r="J9" s="5"/>
    </row>
    <row r="10" spans="1:10" ht="14.4">
      <c r="A10" s="61" t="s">
        <v>192</v>
      </c>
      <c r="B10" s="62">
        <v>20</v>
      </c>
      <c r="C10" s="62">
        <v>30</v>
      </c>
      <c r="D10" s="62" t="s">
        <v>193</v>
      </c>
      <c r="E10" s="63">
        <f t="shared" si="0"/>
        <v>50</v>
      </c>
      <c r="F10" s="6">
        <f t="shared" si="1"/>
        <v>16.666666666666668</v>
      </c>
      <c r="G10" s="27" t="str">
        <f t="shared" si="2"/>
        <v>BAD</v>
      </c>
      <c r="I10" s="8"/>
      <c r="J10" s="5"/>
    </row>
    <row r="11" spans="1:10" ht="14.4">
      <c r="A11" s="61" t="s">
        <v>194</v>
      </c>
      <c r="B11" s="62">
        <v>40</v>
      </c>
      <c r="C11" s="62">
        <v>60</v>
      </c>
      <c r="D11" s="62">
        <v>80</v>
      </c>
      <c r="E11" s="63">
        <f t="shared" si="0"/>
        <v>180</v>
      </c>
      <c r="F11" s="6">
        <f t="shared" si="1"/>
        <v>60</v>
      </c>
      <c r="G11" s="27" t="str">
        <f t="shared" si="2"/>
        <v>GOOD</v>
      </c>
      <c r="I11" s="8"/>
      <c r="J11" s="5"/>
    </row>
    <row r="12" spans="1:10" ht="14.4">
      <c r="A12" s="61" t="s">
        <v>195</v>
      </c>
      <c r="B12" s="62">
        <v>10</v>
      </c>
      <c r="C12" s="62">
        <v>90</v>
      </c>
      <c r="D12" s="62">
        <v>80</v>
      </c>
      <c r="E12" s="63">
        <f t="shared" si="0"/>
        <v>180</v>
      </c>
      <c r="F12" s="6">
        <f t="shared" si="1"/>
        <v>60</v>
      </c>
      <c r="G12" s="27" t="str">
        <f t="shared" si="2"/>
        <v>GOOD</v>
      </c>
      <c r="I12" s="8"/>
      <c r="J12" s="5"/>
    </row>
    <row r="13" spans="1:10" ht="14.4">
      <c r="A13" s="61" t="s">
        <v>196</v>
      </c>
      <c r="B13" s="62">
        <v>80</v>
      </c>
      <c r="C13" s="62">
        <v>70</v>
      </c>
      <c r="D13" s="62">
        <v>60</v>
      </c>
      <c r="E13" s="63">
        <f t="shared" si="0"/>
        <v>210</v>
      </c>
      <c r="F13" s="6">
        <f t="shared" si="1"/>
        <v>70</v>
      </c>
      <c r="G13" s="27" t="str">
        <f t="shared" si="2"/>
        <v>GOOD</v>
      </c>
      <c r="I13" s="8"/>
      <c r="J13" s="5"/>
    </row>
    <row r="14" spans="1:10" ht="14.4">
      <c r="A14" s="61" t="s">
        <v>197</v>
      </c>
      <c r="B14" s="62">
        <v>30</v>
      </c>
      <c r="C14" s="62">
        <v>10</v>
      </c>
      <c r="D14" s="62">
        <v>20</v>
      </c>
      <c r="E14" s="63">
        <f t="shared" si="0"/>
        <v>60</v>
      </c>
      <c r="F14" s="6">
        <f t="shared" si="1"/>
        <v>20</v>
      </c>
      <c r="G14" s="27" t="str">
        <f t="shared" si="2"/>
        <v>BAD</v>
      </c>
      <c r="I14" s="8"/>
      <c r="J14" s="5"/>
    </row>
    <row r="15" spans="1:10" ht="14.4">
      <c r="A15" s="64" t="s">
        <v>198</v>
      </c>
      <c r="B15" s="65">
        <v>10</v>
      </c>
      <c r="C15" s="65">
        <v>20</v>
      </c>
      <c r="D15" s="65">
        <v>30</v>
      </c>
      <c r="E15" s="66">
        <f t="shared" si="0"/>
        <v>60</v>
      </c>
      <c r="F15" s="6">
        <f t="shared" si="1"/>
        <v>20</v>
      </c>
      <c r="G15" s="27" t="str">
        <f t="shared" si="2"/>
        <v>BAD</v>
      </c>
      <c r="I15" s="8"/>
      <c r="J15" s="5"/>
    </row>
    <row r="17" spans="1:9" ht="19.5" customHeight="1">
      <c r="A17" s="67" t="s">
        <v>199</v>
      </c>
      <c r="B17" s="11"/>
      <c r="C17" s="11"/>
      <c r="D17" s="11"/>
      <c r="F17" s="68" t="s">
        <v>200</v>
      </c>
      <c r="G17" s="283" t="s">
        <v>1223</v>
      </c>
      <c r="H17">
        <f>COUNTA(A6:A15)</f>
        <v>10</v>
      </c>
    </row>
    <row r="18" spans="1:9" ht="19.5" customHeight="1">
      <c r="A18" s="309" t="s">
        <v>201</v>
      </c>
      <c r="B18" s="301"/>
      <c r="C18" s="301"/>
      <c r="D18" s="301"/>
      <c r="F18" s="68" t="s">
        <v>202</v>
      </c>
      <c r="G18" s="283" t="s">
        <v>1224</v>
      </c>
      <c r="H18">
        <f>COUNTIF(F6:F15,"&gt;50")</f>
        <v>5</v>
      </c>
    </row>
    <row r="19" spans="1:9" ht="19.5" customHeight="1">
      <c r="A19" s="69" t="s">
        <v>203</v>
      </c>
      <c r="B19" s="11"/>
      <c r="C19" s="11"/>
      <c r="D19" s="11"/>
      <c r="F19" s="68" t="s">
        <v>204</v>
      </c>
      <c r="G19" s="283" t="s">
        <v>1225</v>
      </c>
      <c r="H19">
        <f>SUMIF(A6:A15,"BOB",E6:E15)</f>
        <v>120</v>
      </c>
      <c r="I19">
        <f>SUMIF(A6:A15,"ERIC",E6:E15)</f>
        <v>50</v>
      </c>
    </row>
    <row r="20" spans="1:9" ht="19.5" customHeight="1">
      <c r="A20" s="11" t="s">
        <v>205</v>
      </c>
      <c r="B20" s="11"/>
      <c r="C20" s="11"/>
      <c r="D20" s="11"/>
      <c r="I20" s="283" t="s">
        <v>1226</v>
      </c>
    </row>
    <row r="21" spans="1:9" ht="19.5" customHeight="1">
      <c r="A21" s="11" t="s">
        <v>206</v>
      </c>
      <c r="B21" s="11"/>
      <c r="C21" s="11"/>
      <c r="D21" s="11"/>
      <c r="F21" s="68" t="s">
        <v>202</v>
      </c>
      <c r="H21" s="5"/>
      <c r="I21" t="str">
        <f>IF(F6&gt;70,"a",IF(F6&gt;50,"B","C"))</f>
        <v>a</v>
      </c>
    </row>
    <row r="22" spans="1:9" ht="15.75" customHeight="1">
      <c r="I22" t="str">
        <f t="shared" ref="I22:I29" si="3">IF(F7&gt;70,"a",IF(F7&gt;50,"B","C"))</f>
        <v>C</v>
      </c>
    </row>
    <row r="23" spans="1:9" ht="15.75" customHeight="1">
      <c r="I23" t="str">
        <f t="shared" si="3"/>
        <v>C</v>
      </c>
    </row>
    <row r="24" spans="1:9" ht="15.75" customHeight="1">
      <c r="F24" s="283" t="s">
        <v>1227</v>
      </c>
      <c r="I24" t="str">
        <f t="shared" si="3"/>
        <v>a</v>
      </c>
    </row>
    <row r="25" spans="1:9" ht="15.75" customHeight="1">
      <c r="F25">
        <f>COUNTIF(G6:G15,"GOOD")</f>
        <v>3</v>
      </c>
      <c r="I25" t="str">
        <f t="shared" si="3"/>
        <v>C</v>
      </c>
    </row>
    <row r="26" spans="1:9" ht="15.75" customHeight="1">
      <c r="F26">
        <f>COUNTIF(G5:G15,"BAD")</f>
        <v>5</v>
      </c>
      <c r="I26" t="str">
        <f t="shared" si="3"/>
        <v>B</v>
      </c>
    </row>
    <row r="27" spans="1:9" ht="15.75" customHeight="1">
      <c r="I27" t="str">
        <f t="shared" si="3"/>
        <v>B</v>
      </c>
    </row>
    <row r="28" spans="1:9" ht="15.75" customHeight="1">
      <c r="I28" t="str">
        <f t="shared" si="3"/>
        <v>B</v>
      </c>
    </row>
    <row r="29" spans="1:9" ht="15.75" customHeight="1">
      <c r="I29" t="str">
        <f t="shared" si="3"/>
        <v>C</v>
      </c>
    </row>
    <row r="30" spans="1:9" ht="15.75" customHeight="1">
      <c r="I30" t="str">
        <f>IF(F15&gt;70,"a",IF(F15&gt;50,"B","C"))</f>
        <v>C</v>
      </c>
    </row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G2"/>
    <mergeCell ref="B4:D4"/>
    <mergeCell ref="E4:G4"/>
    <mergeCell ref="A18:D18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4125"/>
  </sheetPr>
  <dimension ref="A1:I1000"/>
  <sheetViews>
    <sheetView topLeftCell="B3" workbookViewId="0">
      <selection activeCell="B20" sqref="B20"/>
    </sheetView>
  </sheetViews>
  <sheetFormatPr defaultColWidth="14.44140625" defaultRowHeight="15" customHeight="1"/>
  <cols>
    <col min="1" max="1" width="14.5546875" customWidth="1"/>
    <col min="2" max="2" width="12.88671875" customWidth="1"/>
    <col min="3" max="3" width="13" customWidth="1"/>
    <col min="4" max="5" width="8" customWidth="1"/>
    <col min="6" max="6" width="14.5546875" customWidth="1"/>
    <col min="7" max="7" width="10.5546875" customWidth="1"/>
    <col min="8" max="8" width="16.5546875" customWidth="1"/>
    <col min="9" max="9" width="19.44140625" customWidth="1"/>
    <col min="10" max="26" width="8" customWidth="1"/>
  </cols>
  <sheetData>
    <row r="1" spans="1:9" ht="18.75" customHeight="1">
      <c r="A1" s="300" t="s">
        <v>207</v>
      </c>
      <c r="B1" s="301"/>
      <c r="C1" s="301"/>
      <c r="D1" s="301"/>
      <c r="E1" s="301"/>
      <c r="F1" s="301"/>
      <c r="G1" s="301"/>
    </row>
    <row r="2" spans="1:9" ht="14.4">
      <c r="A2" s="304" t="s">
        <v>208</v>
      </c>
      <c r="B2" s="305"/>
      <c r="C2" s="305"/>
      <c r="D2" s="305"/>
      <c r="E2" s="305"/>
      <c r="F2" s="305"/>
      <c r="G2" s="305"/>
    </row>
    <row r="4" spans="1:9" ht="14.4">
      <c r="A4" s="11" t="s">
        <v>209</v>
      </c>
      <c r="B4" s="11"/>
      <c r="C4" s="70" t="s">
        <v>210</v>
      </c>
      <c r="D4" s="70"/>
      <c r="E4" s="70"/>
      <c r="F4" s="70"/>
      <c r="G4" s="70"/>
    </row>
    <row r="6" spans="1:9" ht="15.75" customHeight="1">
      <c r="A6" s="71" t="s">
        <v>211</v>
      </c>
      <c r="B6" s="71" t="s">
        <v>212</v>
      </c>
      <c r="C6" s="71" t="s">
        <v>213</v>
      </c>
      <c r="F6" s="72" t="s">
        <v>211</v>
      </c>
      <c r="G6" s="72" t="s">
        <v>214</v>
      </c>
      <c r="H6" s="72" t="s">
        <v>215</v>
      </c>
      <c r="I6" s="72" t="s">
        <v>216</v>
      </c>
    </row>
    <row r="7" spans="1:9" ht="14.4">
      <c r="A7" s="73">
        <v>110608</v>
      </c>
      <c r="B7" s="73" t="s">
        <v>217</v>
      </c>
      <c r="C7" s="73" t="s">
        <v>218</v>
      </c>
      <c r="D7" s="74"/>
      <c r="E7" s="74"/>
      <c r="F7" s="75">
        <v>602693</v>
      </c>
      <c r="G7" s="76">
        <v>84289</v>
      </c>
      <c r="H7" s="26" t="str">
        <f>LOOKUP(F7,$A$7:$A$19,$C$7:$C$19)</f>
        <v>Micheal</v>
      </c>
      <c r="I7" s="26" t="str">
        <f>LOOKUP(F7,$A$7:$A$19,$B$7:$B$19)</f>
        <v>Vick</v>
      </c>
    </row>
    <row r="8" spans="1:9" ht="14.4">
      <c r="A8" s="73">
        <v>253072</v>
      </c>
      <c r="B8" s="73" t="s">
        <v>219</v>
      </c>
      <c r="C8" s="73" t="s">
        <v>220</v>
      </c>
      <c r="D8" s="74"/>
      <c r="E8" s="74"/>
      <c r="F8" s="75">
        <v>611810</v>
      </c>
      <c r="G8" s="76">
        <v>137670</v>
      </c>
      <c r="H8" s="26" t="str">
        <f>VLOOKUP(F8,A7:C19,3,FALSE)</f>
        <v>Tiger</v>
      </c>
      <c r="I8" s="26" t="str">
        <f>VLOOKUP(F8,A7:C19,2,FALSE)</f>
        <v>Woods</v>
      </c>
    </row>
    <row r="9" spans="1:9" ht="14.4">
      <c r="A9" s="73">
        <v>352711</v>
      </c>
      <c r="B9" s="73" t="s">
        <v>221</v>
      </c>
      <c r="C9" s="73" t="s">
        <v>218</v>
      </c>
      <c r="D9" s="74"/>
      <c r="E9" s="74"/>
      <c r="F9" s="75">
        <v>549457</v>
      </c>
      <c r="G9" s="76">
        <v>190024</v>
      </c>
      <c r="H9" s="26" t="str">
        <f t="shared" ref="H9:H12" si="0">VLOOKUP(F9,A8:C20,3,FALSE)</f>
        <v>John</v>
      </c>
      <c r="I9" s="26" t="str">
        <f t="shared" ref="I9:I16" si="1">VLOOKUP(F9,A8:C20,2,FALSE)</f>
        <v>Elway</v>
      </c>
    </row>
    <row r="10" spans="1:9" ht="14.4">
      <c r="A10" s="73">
        <v>391006</v>
      </c>
      <c r="B10" s="73" t="s">
        <v>222</v>
      </c>
      <c r="C10" s="73" t="s">
        <v>223</v>
      </c>
      <c r="D10" s="74"/>
      <c r="E10" s="74"/>
      <c r="F10" s="75">
        <v>612235</v>
      </c>
      <c r="G10" s="76">
        <v>122604</v>
      </c>
      <c r="H10" s="26" t="str">
        <f t="shared" si="0"/>
        <v>Micheal</v>
      </c>
      <c r="I10" s="26" t="str">
        <f t="shared" si="1"/>
        <v>Jordan</v>
      </c>
    </row>
    <row r="11" spans="1:9" ht="14.4">
      <c r="A11" s="73">
        <v>392128</v>
      </c>
      <c r="B11" s="73" t="s">
        <v>224</v>
      </c>
      <c r="C11" s="73" t="s">
        <v>225</v>
      </c>
      <c r="D11" s="74"/>
      <c r="E11" s="74"/>
      <c r="F11" s="75">
        <v>580622</v>
      </c>
      <c r="G11" s="76">
        <v>111709</v>
      </c>
      <c r="H11" s="26" t="str">
        <f t="shared" si="0"/>
        <v>Eli</v>
      </c>
      <c r="I11" s="26" t="str">
        <f t="shared" si="1"/>
        <v>Manning</v>
      </c>
    </row>
    <row r="12" spans="1:9" ht="14.4">
      <c r="A12" s="73">
        <v>549457</v>
      </c>
      <c r="B12" s="73" t="s">
        <v>226</v>
      </c>
      <c r="C12" s="73" t="s">
        <v>218</v>
      </c>
      <c r="D12" s="74"/>
      <c r="E12" s="74"/>
      <c r="F12" s="75">
        <v>830385</v>
      </c>
      <c r="G12" s="76">
        <v>85931</v>
      </c>
      <c r="H12" s="26" t="str">
        <f t="shared" si="0"/>
        <v>Prince</v>
      </c>
      <c r="I12" s="26" t="str">
        <f t="shared" si="1"/>
        <v>Williams</v>
      </c>
    </row>
    <row r="13" spans="1:9" ht="14.4">
      <c r="A13" s="73">
        <v>580622</v>
      </c>
      <c r="B13" s="73" t="s">
        <v>227</v>
      </c>
      <c r="C13" s="73" t="s">
        <v>228</v>
      </c>
      <c r="D13" s="74"/>
      <c r="E13" s="74"/>
      <c r="F13" s="75">
        <v>253072</v>
      </c>
      <c r="G13" s="76">
        <v>168114</v>
      </c>
      <c r="H13" s="26" t="str">
        <f>VLOOKUP(F13,A7:C24,3,FALSE)</f>
        <v>Andy</v>
      </c>
      <c r="I13" s="26" t="str">
        <f>VLOOKUP(F13,A7:C24,2,FALSE)</f>
        <v>Cline</v>
      </c>
    </row>
    <row r="14" spans="1:9" ht="14.4">
      <c r="A14" s="73">
        <v>602693</v>
      </c>
      <c r="B14" s="73" t="s">
        <v>229</v>
      </c>
      <c r="C14" s="73" t="s">
        <v>230</v>
      </c>
      <c r="D14" s="74"/>
      <c r="E14" s="74"/>
      <c r="F14" s="75">
        <v>391006</v>
      </c>
      <c r="G14" s="76">
        <v>89627</v>
      </c>
      <c r="H14" s="26" t="str">
        <f>VLOOKUP(F14,A7:C25,3,FALSE)</f>
        <v>Peter</v>
      </c>
      <c r="I14" s="26" t="str">
        <f>VLOOKUP(F14,A7:C25,2,FALSE)</f>
        <v>Pan</v>
      </c>
    </row>
    <row r="15" spans="1:9" ht="14.4">
      <c r="A15" s="73">
        <v>611810</v>
      </c>
      <c r="B15" s="73" t="s">
        <v>231</v>
      </c>
      <c r="C15" s="73" t="s">
        <v>232</v>
      </c>
      <c r="D15" s="74"/>
      <c r="E15" s="74"/>
      <c r="F15" s="75">
        <v>990678</v>
      </c>
      <c r="G15" s="76">
        <v>149946</v>
      </c>
      <c r="H15" s="26" t="str">
        <f t="shared" ref="H15:H17" si="2">VLOOKUP(F15,A8:C26,3,FALSE)</f>
        <v>Brad</v>
      </c>
      <c r="I15" s="26" t="str">
        <f t="shared" si="1"/>
        <v>Pitt</v>
      </c>
    </row>
    <row r="16" spans="1:9" ht="14.4">
      <c r="A16" s="73">
        <v>612235</v>
      </c>
      <c r="B16" s="73" t="s">
        <v>233</v>
      </c>
      <c r="C16" s="73" t="s">
        <v>230</v>
      </c>
      <c r="D16" s="74"/>
      <c r="E16" s="74"/>
      <c r="F16" s="75">
        <v>795574</v>
      </c>
      <c r="G16" s="76">
        <v>145893</v>
      </c>
      <c r="H16" s="26" t="str">
        <f t="shared" si="2"/>
        <v>Tony</v>
      </c>
      <c r="I16" s="26" t="str">
        <f t="shared" si="1"/>
        <v>Stark</v>
      </c>
    </row>
    <row r="17" spans="1:9" ht="14.4">
      <c r="A17" s="73">
        <v>795574</v>
      </c>
      <c r="B17" s="73" t="s">
        <v>234</v>
      </c>
      <c r="C17" s="73" t="s">
        <v>235</v>
      </c>
      <c r="D17" s="74"/>
      <c r="E17" s="74"/>
      <c r="F17" s="75">
        <v>392128</v>
      </c>
      <c r="G17" s="76">
        <v>64757</v>
      </c>
      <c r="H17" s="26" t="str">
        <f t="shared" si="2"/>
        <v>Bret</v>
      </c>
      <c r="I17" s="26" t="str">
        <f>VLOOKUP(F17,A7:C28,2,FALSE)</f>
        <v>Favre</v>
      </c>
    </row>
    <row r="18" spans="1:9" ht="14.4">
      <c r="A18" s="73">
        <v>830385</v>
      </c>
      <c r="B18" s="73" t="s">
        <v>236</v>
      </c>
      <c r="C18" s="73" t="s">
        <v>237</v>
      </c>
      <c r="D18" s="74"/>
      <c r="E18" s="74"/>
      <c r="F18" s="75">
        <v>352711</v>
      </c>
      <c r="G18" s="76">
        <v>71478</v>
      </c>
      <c r="H18" s="26" t="str">
        <f>VLOOKUP(F18,A7:C29,3,FALSE)</f>
        <v>John</v>
      </c>
      <c r="I18" s="26" t="str">
        <f>VLOOKUP(F18,A7:C29,2,FALSE)</f>
        <v>Smith</v>
      </c>
    </row>
    <row r="19" spans="1:9" ht="14.4">
      <c r="A19" s="73">
        <v>990678</v>
      </c>
      <c r="B19" s="73" t="s">
        <v>238</v>
      </c>
      <c r="C19" s="73" t="s">
        <v>239</v>
      </c>
      <c r="D19" s="74"/>
      <c r="E19" s="74"/>
      <c r="F19" s="75">
        <v>110608</v>
      </c>
      <c r="G19" s="76">
        <v>121444</v>
      </c>
      <c r="H19" s="26" t="str">
        <f>VLOOKUP(F19,A7:C30,3,FALSE)</f>
        <v>John</v>
      </c>
      <c r="I19" s="26" t="str">
        <f>VLOOKUP(F19,A7:C30,2,FALSE)</f>
        <v>Doe</v>
      </c>
    </row>
    <row r="20" spans="1:9" ht="14.4">
      <c r="B20" s="5"/>
    </row>
    <row r="21" spans="1:9" ht="15.75" customHeight="1"/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topLeftCell="B17" workbookViewId="0">
      <selection activeCell="E36" sqref="E36"/>
    </sheetView>
  </sheetViews>
  <sheetFormatPr defaultColWidth="14.44140625" defaultRowHeight="15" customHeight="1"/>
  <cols>
    <col min="1" max="1" width="12.109375" customWidth="1"/>
    <col min="2" max="2" width="16.33203125" customWidth="1"/>
    <col min="3" max="3" width="12" customWidth="1"/>
    <col min="4" max="4" width="15" customWidth="1"/>
    <col min="5" max="5" width="20.6640625" customWidth="1"/>
    <col min="6" max="6" width="12.109375" bestFit="1" customWidth="1"/>
    <col min="7" max="8" width="8" customWidth="1"/>
    <col min="9" max="9" width="12.88671875" customWidth="1"/>
    <col min="10" max="26" width="8" customWidth="1"/>
  </cols>
  <sheetData>
    <row r="1" spans="1:7" ht="18.75" customHeight="1">
      <c r="A1" s="5" t="s">
        <v>240</v>
      </c>
    </row>
    <row r="2" spans="1:7" ht="14.4">
      <c r="A2" s="304" t="s">
        <v>241</v>
      </c>
      <c r="B2" s="305"/>
      <c r="C2" s="305"/>
      <c r="D2" s="305"/>
      <c r="E2" s="305"/>
      <c r="F2" s="305"/>
      <c r="G2" s="305"/>
    </row>
    <row r="4" spans="1:7" ht="26.25" customHeight="1">
      <c r="A4" s="300" t="s">
        <v>242</v>
      </c>
      <c r="B4" s="301"/>
      <c r="C4" s="301"/>
      <c r="D4" s="301"/>
      <c r="E4" s="301"/>
      <c r="F4" s="301"/>
      <c r="G4" s="301"/>
    </row>
    <row r="6" spans="1:7" ht="14.4">
      <c r="A6" s="77" t="s">
        <v>243</v>
      </c>
      <c r="B6" s="77" t="s">
        <v>244</v>
      </c>
      <c r="C6" s="77" t="s">
        <v>245</v>
      </c>
      <c r="D6" s="77" t="s">
        <v>246</v>
      </c>
      <c r="E6" s="77" t="s">
        <v>247</v>
      </c>
      <c r="F6" s="77" t="s">
        <v>248</v>
      </c>
    </row>
    <row r="7" spans="1:7" ht="14.4">
      <c r="A7" s="78" t="s">
        <v>249</v>
      </c>
      <c r="B7" s="6" t="str">
        <f>VLOOKUP(A7,A12:F25,2)</f>
        <v>Adele M. Fulton</v>
      </c>
      <c r="C7" s="6"/>
      <c r="D7" s="6"/>
      <c r="E7" s="6"/>
      <c r="F7" s="6"/>
    </row>
    <row r="8" spans="1:7" ht="14.4">
      <c r="A8" s="79" t="s">
        <v>250</v>
      </c>
      <c r="B8" s="6"/>
      <c r="C8" s="6"/>
      <c r="D8" s="6"/>
      <c r="E8" s="6"/>
      <c r="F8" s="6"/>
    </row>
    <row r="9" spans="1:7" ht="14.4">
      <c r="A9" s="79" t="s">
        <v>251</v>
      </c>
      <c r="B9" s="6"/>
      <c r="C9" s="6"/>
      <c r="D9" s="6"/>
      <c r="E9" s="6"/>
      <c r="F9" s="6"/>
    </row>
    <row r="11" spans="1:7" ht="14.4">
      <c r="A11" s="80" t="s">
        <v>243</v>
      </c>
      <c r="B11" s="80" t="s">
        <v>244</v>
      </c>
      <c r="C11" s="80" t="s">
        <v>245</v>
      </c>
      <c r="D11" s="80" t="s">
        <v>246</v>
      </c>
      <c r="E11" s="80" t="s">
        <v>247</v>
      </c>
      <c r="F11" s="80" t="s">
        <v>248</v>
      </c>
    </row>
    <row r="12" spans="1:7" ht="14.4">
      <c r="A12" s="78" t="s">
        <v>252</v>
      </c>
      <c r="B12" s="81" t="s">
        <v>253</v>
      </c>
      <c r="C12" s="82">
        <v>845043962</v>
      </c>
      <c r="D12" s="81" t="s">
        <v>254</v>
      </c>
      <c r="E12" s="83">
        <v>39474</v>
      </c>
      <c r="F12" s="84">
        <v>73500</v>
      </c>
    </row>
    <row r="13" spans="1:7" ht="14.4">
      <c r="A13" s="78" t="s">
        <v>250</v>
      </c>
      <c r="B13" s="81" t="s">
        <v>255</v>
      </c>
      <c r="C13" s="82">
        <v>345284935</v>
      </c>
      <c r="D13" s="81" t="s">
        <v>256</v>
      </c>
      <c r="E13" s="83">
        <v>39508</v>
      </c>
      <c r="F13" s="84">
        <v>80000</v>
      </c>
    </row>
    <row r="14" spans="1:7" ht="14.4">
      <c r="A14" s="78" t="s">
        <v>251</v>
      </c>
      <c r="B14" s="81" t="s">
        <v>257</v>
      </c>
      <c r="C14" s="82">
        <v>503538350</v>
      </c>
      <c r="D14" s="81" t="s">
        <v>254</v>
      </c>
      <c r="E14" s="83">
        <v>39554</v>
      </c>
      <c r="F14" s="84">
        <v>95000</v>
      </c>
    </row>
    <row r="15" spans="1:7" ht="14.4">
      <c r="A15" s="78" t="s">
        <v>258</v>
      </c>
      <c r="B15" s="81" t="s">
        <v>259</v>
      </c>
      <c r="C15" s="82">
        <v>858397967</v>
      </c>
      <c r="D15" s="81" t="s">
        <v>254</v>
      </c>
      <c r="E15" s="83">
        <v>39571</v>
      </c>
      <c r="F15" s="84">
        <v>105000</v>
      </c>
    </row>
    <row r="16" spans="1:7" ht="14.4">
      <c r="A16" s="78" t="s">
        <v>260</v>
      </c>
      <c r="B16" s="81" t="s">
        <v>261</v>
      </c>
      <c r="C16" s="82">
        <v>245185890</v>
      </c>
      <c r="D16" s="81" t="s">
        <v>262</v>
      </c>
      <c r="E16" s="83">
        <v>39640</v>
      </c>
      <c r="F16" s="84">
        <v>90000</v>
      </c>
    </row>
    <row r="17" spans="1:9" ht="14.4">
      <c r="A17" s="78" t="s">
        <v>263</v>
      </c>
      <c r="B17" s="81" t="s">
        <v>264</v>
      </c>
      <c r="C17" s="82">
        <v>873458675</v>
      </c>
      <c r="D17" s="81" t="s">
        <v>265</v>
      </c>
      <c r="E17" s="83">
        <v>39646</v>
      </c>
      <c r="F17" s="84">
        <v>60000</v>
      </c>
    </row>
    <row r="18" spans="1:9" ht="14.4">
      <c r="A18" s="78" t="s">
        <v>266</v>
      </c>
      <c r="B18" s="81" t="s">
        <v>267</v>
      </c>
      <c r="C18" s="82">
        <v>190083679</v>
      </c>
      <c r="D18" s="81" t="s">
        <v>265</v>
      </c>
      <c r="E18" s="83">
        <v>39726</v>
      </c>
      <c r="F18" s="84">
        <v>87000</v>
      </c>
    </row>
    <row r="19" spans="1:9" ht="14.4">
      <c r="A19" s="78" t="s">
        <v>249</v>
      </c>
      <c r="B19" s="81" t="s">
        <v>268</v>
      </c>
      <c r="C19" s="82">
        <v>352369553</v>
      </c>
      <c r="D19" s="81" t="s">
        <v>262</v>
      </c>
      <c r="E19" s="83">
        <v>39749</v>
      </c>
      <c r="F19" s="84">
        <v>104000</v>
      </c>
    </row>
    <row r="20" spans="1:9" ht="14.4">
      <c r="A20" s="78" t="s">
        <v>269</v>
      </c>
      <c r="B20" s="81" t="s">
        <v>270</v>
      </c>
      <c r="C20" s="82">
        <v>645740451</v>
      </c>
      <c r="D20" s="81" t="s">
        <v>254</v>
      </c>
      <c r="E20" s="83">
        <v>39757</v>
      </c>
      <c r="F20" s="84">
        <v>380050</v>
      </c>
    </row>
    <row r="21" spans="1:9" ht="15.75" customHeight="1">
      <c r="A21" s="78" t="s">
        <v>271</v>
      </c>
      <c r="B21" s="81" t="s">
        <v>272</v>
      </c>
      <c r="C21" s="82">
        <v>558531475</v>
      </c>
      <c r="D21" s="81" t="s">
        <v>254</v>
      </c>
      <c r="E21" s="83">
        <v>39791</v>
      </c>
      <c r="F21" s="84">
        <v>93000</v>
      </c>
    </row>
    <row r="22" spans="1:9" ht="15.75" customHeight="1">
      <c r="A22" s="78" t="s">
        <v>273</v>
      </c>
      <c r="B22" s="81" t="s">
        <v>274</v>
      </c>
      <c r="C22" s="82">
        <v>129426148</v>
      </c>
      <c r="D22" s="81" t="s">
        <v>256</v>
      </c>
      <c r="E22" s="83">
        <v>39856</v>
      </c>
      <c r="F22" s="84">
        <v>180000</v>
      </c>
    </row>
    <row r="23" spans="1:9" ht="15.75" customHeight="1">
      <c r="A23" s="78" t="s">
        <v>275</v>
      </c>
      <c r="B23" s="81" t="s">
        <v>276</v>
      </c>
      <c r="C23" s="82">
        <v>796504767</v>
      </c>
      <c r="D23" s="81" t="s">
        <v>254</v>
      </c>
      <c r="E23" s="83">
        <v>39891</v>
      </c>
      <c r="F23" s="84">
        <v>100000</v>
      </c>
    </row>
    <row r="24" spans="1:9" ht="15.75" customHeight="1">
      <c r="A24" s="78" t="s">
        <v>277</v>
      </c>
      <c r="B24" s="81" t="s">
        <v>278</v>
      </c>
      <c r="C24" s="82">
        <v>266481339</v>
      </c>
      <c r="D24" s="81" t="s">
        <v>279</v>
      </c>
      <c r="E24" s="83">
        <v>39916</v>
      </c>
      <c r="F24" s="84">
        <v>136000</v>
      </c>
    </row>
    <row r="25" spans="1:9" ht="15.75" customHeight="1">
      <c r="A25" s="78" t="s">
        <v>280</v>
      </c>
      <c r="B25" s="81" t="s">
        <v>281</v>
      </c>
      <c r="C25" s="82">
        <v>663003285</v>
      </c>
      <c r="D25" s="81" t="s">
        <v>254</v>
      </c>
      <c r="E25" s="83">
        <v>39931</v>
      </c>
      <c r="F25" s="84">
        <v>68000</v>
      </c>
    </row>
    <row r="26" spans="1:9" ht="15.75" customHeight="1"/>
    <row r="27" spans="1:9" ht="19.5" customHeight="1">
      <c r="A27" s="85" t="s">
        <v>282</v>
      </c>
      <c r="B27" s="11"/>
      <c r="C27" s="11"/>
      <c r="D27" s="11"/>
      <c r="E27" s="56" t="s">
        <v>283</v>
      </c>
      <c r="F27" s="5">
        <f>COUNTA(A12:A25)</f>
        <v>14</v>
      </c>
    </row>
    <row r="28" spans="1:9" ht="19.5" customHeight="1">
      <c r="A28" s="85" t="s">
        <v>284</v>
      </c>
      <c r="B28" s="11"/>
      <c r="C28" s="11"/>
      <c r="D28" s="11"/>
      <c r="E28" s="56" t="s">
        <v>285</v>
      </c>
      <c r="F28" s="284">
        <f>COUNTIF(D12:D25,"FINANCE")</f>
        <v>2</v>
      </c>
      <c r="G28" s="5">
        <f>COUNTIF(D12:D25,"MARKETING")</f>
        <v>7</v>
      </c>
    </row>
    <row r="29" spans="1:9" ht="19.5" customHeight="1">
      <c r="A29" s="11" t="s">
        <v>286</v>
      </c>
      <c r="B29" s="11"/>
      <c r="C29" s="11"/>
      <c r="D29" s="11"/>
      <c r="E29" s="56" t="s">
        <v>94</v>
      </c>
      <c r="F29" s="5"/>
      <c r="G29" s="81" t="s">
        <v>261</v>
      </c>
      <c r="I29" t="str">
        <f>VLOOKUP(G29,B12:F25,3,FALSE)</f>
        <v>Engineering</v>
      </c>
    </row>
    <row r="30" spans="1:9" ht="19.5" customHeight="1">
      <c r="A30" s="11" t="s">
        <v>287</v>
      </c>
      <c r="B30" s="11"/>
      <c r="C30" s="11"/>
      <c r="D30" s="11"/>
      <c r="E30" s="56" t="s">
        <v>94</v>
      </c>
      <c r="F30" s="86"/>
      <c r="I30">
        <f>VLOOKUP(G29,B12:F25,5,FALSE)</f>
        <v>90000</v>
      </c>
    </row>
    <row r="31" spans="1:9" ht="19.5" customHeight="1">
      <c r="A31" s="11" t="s">
        <v>288</v>
      </c>
      <c r="B31" s="11"/>
      <c r="C31" s="11"/>
      <c r="D31" s="11"/>
      <c r="E31" s="56" t="s">
        <v>34</v>
      </c>
      <c r="F31" s="5"/>
    </row>
    <row r="32" spans="1:9" ht="15.75" customHeight="1">
      <c r="G32" s="283" t="s">
        <v>1226</v>
      </c>
      <c r="I32">
        <f>VLOOKUP(G29,B12:F25,2,FALSE)</f>
        <v>245185890</v>
      </c>
    </row>
    <row r="33" spans="2:5" ht="15.75" customHeight="1"/>
    <row r="34" spans="2:5" ht="15.75" customHeight="1">
      <c r="B34" s="5">
        <f>AVERAGEA(B21:B25)</f>
        <v>0</v>
      </c>
    </row>
    <row r="35" spans="2:5" ht="15.75" customHeight="1">
      <c r="E35">
        <f>SUMIF(D12:D25,"MARKETING",F12:F25)</f>
        <v>914550</v>
      </c>
    </row>
    <row r="36" spans="2:5" ht="15.75" customHeight="1"/>
    <row r="37" spans="2:5" ht="15.75" customHeight="1"/>
    <row r="38" spans="2:5" ht="15.75" customHeight="1"/>
    <row r="39" spans="2:5" ht="15.75" customHeight="1"/>
    <row r="40" spans="2:5" ht="15.75" customHeight="1"/>
    <row r="41" spans="2:5" ht="15.75" customHeight="1"/>
    <row r="42" spans="2:5" ht="15.75" customHeight="1"/>
    <row r="43" spans="2:5" ht="15.75" customHeight="1"/>
    <row r="44" spans="2:5" ht="15.75" customHeight="1"/>
    <row r="45" spans="2:5" ht="15.75" customHeight="1"/>
    <row r="46" spans="2:5" ht="15.75" customHeight="1"/>
    <row r="47" spans="2:5" ht="15.75" customHeight="1"/>
    <row r="48" spans="2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G2"/>
    <mergeCell ref="A4:G4"/>
  </mergeCells>
  <dataValidations count="1">
    <dataValidation type="list" allowBlank="1" showInputMessage="1" showErrorMessage="1" prompt="Employee ID - Select Employee ID" sqref="A8:A9" xr:uid="{00000000-0002-0000-0900-000000000000}">
      <formula1>$B$18:$B$31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9CB9C"/>
  </sheetPr>
  <dimension ref="A1:K1000"/>
  <sheetViews>
    <sheetView topLeftCell="A19" workbookViewId="0">
      <selection activeCell="C25" sqref="C25:C27"/>
    </sheetView>
  </sheetViews>
  <sheetFormatPr defaultColWidth="14.44140625" defaultRowHeight="15" customHeight="1"/>
  <cols>
    <col min="1" max="1" width="22.6640625" customWidth="1"/>
    <col min="2" max="2" width="60.109375" bestFit="1" customWidth="1"/>
    <col min="3" max="3" width="10.6640625" customWidth="1"/>
    <col min="4" max="4" width="9.88671875" customWidth="1"/>
    <col min="5" max="26" width="8" customWidth="1"/>
  </cols>
  <sheetData>
    <row r="1" spans="1:8" ht="18.75" customHeight="1">
      <c r="A1" s="300" t="s">
        <v>289</v>
      </c>
      <c r="B1" s="301"/>
      <c r="C1" s="301"/>
      <c r="D1" s="301"/>
      <c r="E1" s="301"/>
      <c r="F1" s="301"/>
      <c r="G1" s="301"/>
    </row>
    <row r="2" spans="1:8" ht="14.4">
      <c r="A2" s="304" t="s">
        <v>290</v>
      </c>
      <c r="B2" s="305"/>
      <c r="C2" s="305"/>
      <c r="D2" s="305"/>
      <c r="E2" s="305"/>
      <c r="F2" s="305"/>
      <c r="G2" s="305"/>
    </row>
    <row r="4" spans="1:8" ht="14.4">
      <c r="B4" s="87" t="s">
        <v>291</v>
      </c>
      <c r="C4" s="88" t="s">
        <v>292</v>
      </c>
      <c r="D4" s="88" t="s">
        <v>293</v>
      </c>
      <c r="E4" s="88" t="s">
        <v>294</v>
      </c>
    </row>
    <row r="5" spans="1:8" ht="14.4">
      <c r="B5" s="31" t="s">
        <v>295</v>
      </c>
      <c r="C5" s="89">
        <v>2.95</v>
      </c>
      <c r="D5" s="89">
        <v>3.75</v>
      </c>
      <c r="E5" s="89">
        <v>4.1500000000000004</v>
      </c>
    </row>
    <row r="6" spans="1:8" ht="14.4">
      <c r="B6" s="31" t="s">
        <v>296</v>
      </c>
      <c r="C6" s="89">
        <v>2.95</v>
      </c>
      <c r="D6" s="89">
        <v>3.65</v>
      </c>
      <c r="E6" s="89">
        <v>4.1500000000000004</v>
      </c>
    </row>
    <row r="7" spans="1:8" ht="14.4">
      <c r="B7" s="31" t="s">
        <v>297</v>
      </c>
      <c r="C7" s="89">
        <v>3.75</v>
      </c>
      <c r="D7" s="89">
        <v>3.95</v>
      </c>
      <c r="E7" s="89">
        <v>4.25</v>
      </c>
    </row>
    <row r="8" spans="1:8" ht="14.4">
      <c r="B8" s="31" t="s">
        <v>298</v>
      </c>
      <c r="C8" s="89">
        <v>3.25</v>
      </c>
      <c r="D8" s="89">
        <v>3.95</v>
      </c>
      <c r="E8" s="89">
        <v>4.4000000000000004</v>
      </c>
    </row>
    <row r="9" spans="1:8" ht="14.4">
      <c r="B9" s="31" t="s">
        <v>299</v>
      </c>
      <c r="C9" s="89">
        <v>3.45</v>
      </c>
      <c r="D9" s="89">
        <v>4.1500000000000004</v>
      </c>
      <c r="E9" s="89">
        <v>4.55</v>
      </c>
    </row>
    <row r="10" spans="1:8" ht="14.4">
      <c r="B10" s="31" t="s">
        <v>300</v>
      </c>
      <c r="C10" s="89">
        <v>2</v>
      </c>
      <c r="D10" s="89">
        <v>2.4</v>
      </c>
      <c r="E10" s="89">
        <v>2.75</v>
      </c>
      <c r="F10" s="5"/>
    </row>
    <row r="11" spans="1:8" ht="14.4">
      <c r="B11" s="31" t="s">
        <v>301</v>
      </c>
      <c r="C11" s="89">
        <v>3.95</v>
      </c>
      <c r="D11" s="89">
        <v>4.75</v>
      </c>
      <c r="E11" s="89">
        <v>5.15</v>
      </c>
    </row>
    <row r="12" spans="1:8" ht="14.4">
      <c r="B12" s="31" t="s">
        <v>302</v>
      </c>
      <c r="C12" s="89">
        <v>2.25</v>
      </c>
      <c r="D12" s="89">
        <v>2.5</v>
      </c>
      <c r="E12" s="89">
        <v>2.75</v>
      </c>
    </row>
    <row r="13" spans="1:8" ht="14.4">
      <c r="B13" s="31" t="s">
        <v>303</v>
      </c>
      <c r="C13" s="89">
        <v>1.75</v>
      </c>
      <c r="D13" s="89">
        <v>1.95</v>
      </c>
      <c r="E13" s="89">
        <v>2.0499999999999998</v>
      </c>
    </row>
    <row r="14" spans="1:8" ht="14.4">
      <c r="B14" s="31"/>
      <c r="C14" s="31"/>
      <c r="D14" s="31"/>
      <c r="E14" s="31"/>
    </row>
    <row r="15" spans="1:8" ht="14.4">
      <c r="B15" s="90" t="s">
        <v>304</v>
      </c>
      <c r="C15" s="91"/>
      <c r="D15" s="91"/>
      <c r="E15" s="91"/>
      <c r="H15" s="5"/>
    </row>
    <row r="16" spans="1:8" ht="14.4">
      <c r="B16" s="90" t="s">
        <v>305</v>
      </c>
      <c r="C16" s="91"/>
      <c r="D16" s="91"/>
      <c r="E16" s="91"/>
    </row>
    <row r="17" spans="2:11" ht="14.4">
      <c r="B17" s="31"/>
      <c r="C17" s="31"/>
      <c r="D17" s="31"/>
      <c r="E17" s="31"/>
    </row>
    <row r="18" spans="2:11" ht="14.4">
      <c r="B18" s="74" t="s">
        <v>306</v>
      </c>
      <c r="C18" s="7">
        <f>MATCH(B18,$B$4:$E$4,0)</f>
        <v>3</v>
      </c>
      <c r="D18" s="31" t="s">
        <v>307</v>
      </c>
      <c r="E18" s="31"/>
      <c r="G18">
        <f>MATCH("grande",B4:E4,0)</f>
        <v>3</v>
      </c>
    </row>
    <row r="19" spans="2:11" ht="14.4">
      <c r="B19" s="92" t="s">
        <v>294</v>
      </c>
      <c r="C19" s="7">
        <f>MATCH(B19,$B$4:$E$4,0)</f>
        <v>4</v>
      </c>
      <c r="D19" s="31" t="s">
        <v>307</v>
      </c>
      <c r="E19" s="31"/>
      <c r="G19" s="5">
        <f>MATCH("venti",B4:E4,0)</f>
        <v>4</v>
      </c>
      <c r="I19" s="5"/>
    </row>
    <row r="20" spans="2:11" ht="14.4">
      <c r="B20" s="92" t="s">
        <v>292</v>
      </c>
      <c r="C20" s="7">
        <f>MATCH(B20,$B$4:$E$4,0)</f>
        <v>2</v>
      </c>
      <c r="D20" s="31" t="s">
        <v>307</v>
      </c>
      <c r="E20" s="31"/>
      <c r="G20" s="5">
        <f>MATCH("tall",B4:E4,0)</f>
        <v>2</v>
      </c>
      <c r="I20" s="5"/>
    </row>
    <row r="21" spans="2:11" ht="15.75" customHeight="1">
      <c r="I21" s="5"/>
    </row>
    <row r="22" spans="2:11" ht="15.75" customHeight="1">
      <c r="B22" s="90" t="s">
        <v>308</v>
      </c>
      <c r="C22" s="90"/>
      <c r="D22" s="91"/>
      <c r="E22" s="91"/>
      <c r="F22" s="91"/>
    </row>
    <row r="23" spans="2:11" ht="15.75" customHeight="1">
      <c r="B23" s="90" t="s">
        <v>309</v>
      </c>
      <c r="C23" s="90"/>
      <c r="D23" s="91"/>
      <c r="E23" s="91"/>
      <c r="F23" s="91"/>
    </row>
    <row r="24" spans="2:11" ht="15.75" customHeight="1">
      <c r="B24" s="31"/>
      <c r="C24" s="31"/>
      <c r="D24" s="31"/>
      <c r="E24" s="31"/>
      <c r="F24" s="31"/>
      <c r="I24" s="287" t="s">
        <v>306</v>
      </c>
      <c r="J24" s="92" t="s">
        <v>292</v>
      </c>
      <c r="K24" s="92" t="s">
        <v>294</v>
      </c>
    </row>
    <row r="25" spans="2:11" ht="15.75" customHeight="1">
      <c r="B25" s="74" t="s">
        <v>298</v>
      </c>
      <c r="C25" s="74"/>
      <c r="D25" s="93"/>
      <c r="E25" s="31"/>
      <c r="F25" s="93"/>
      <c r="H25" s="31" t="s">
        <v>298</v>
      </c>
      <c r="I25">
        <f>VLOOKUP(H25,B5:E13,2,FALSE)</f>
        <v>3.25</v>
      </c>
      <c r="J25">
        <f>VLOOKUP(H25,B5:E13,3,FALSE)</f>
        <v>3.95</v>
      </c>
      <c r="K25">
        <f>VLOOKUP(H25,B5:E13,4,FALSE)</f>
        <v>4.4000000000000004</v>
      </c>
    </row>
    <row r="26" spans="2:11" ht="15.75" customHeight="1">
      <c r="B26" s="5" t="str">
        <f>B25</f>
        <v>Caffe Mocha</v>
      </c>
      <c r="C26" s="5"/>
      <c r="D26" s="93"/>
      <c r="F26" s="94"/>
    </row>
    <row r="27" spans="2:11" ht="15.75" customHeight="1">
      <c r="B27" s="5" t="str">
        <f>B25</f>
        <v>Caffe Mocha</v>
      </c>
      <c r="C27" s="5"/>
      <c r="D27" s="93"/>
      <c r="F27" s="94"/>
    </row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000"/>
  <sheetViews>
    <sheetView workbookViewId="0">
      <selection activeCell="G14" sqref="G14:I17"/>
    </sheetView>
  </sheetViews>
  <sheetFormatPr defaultColWidth="14.44140625" defaultRowHeight="15" customHeight="1"/>
  <cols>
    <col min="1" max="1" width="13.6640625" customWidth="1"/>
    <col min="2" max="7" width="8" customWidth="1"/>
    <col min="8" max="8" width="16" customWidth="1"/>
    <col min="9" max="9" width="8" customWidth="1"/>
    <col min="10" max="10" width="10.44140625" customWidth="1"/>
    <col min="11" max="12" width="8" customWidth="1"/>
    <col min="13" max="13" width="10.44140625" customWidth="1"/>
    <col min="14" max="26" width="8" customWidth="1"/>
  </cols>
  <sheetData>
    <row r="1" spans="1:16" ht="18.75" customHeight="1">
      <c r="A1" s="300" t="s">
        <v>310</v>
      </c>
      <c r="B1" s="301"/>
      <c r="C1" s="301"/>
      <c r="D1" s="301"/>
      <c r="E1" s="301"/>
      <c r="F1" s="301"/>
      <c r="G1" s="301"/>
      <c r="H1" s="301"/>
      <c r="I1" s="301"/>
      <c r="J1" s="301"/>
    </row>
    <row r="2" spans="1:16" ht="14.4">
      <c r="A2" s="303" t="s">
        <v>311</v>
      </c>
      <c r="B2" s="301"/>
      <c r="C2" s="301"/>
      <c r="D2" s="301"/>
      <c r="E2" s="301"/>
      <c r="F2" s="301"/>
      <c r="G2" s="301"/>
      <c r="H2" s="301"/>
      <c r="I2" s="301"/>
      <c r="J2" s="301"/>
    </row>
    <row r="5" spans="1:16" ht="19.5" customHeight="1">
      <c r="A5" s="95"/>
      <c r="B5" s="96"/>
      <c r="C5" s="96"/>
      <c r="D5" s="96"/>
      <c r="E5" s="96"/>
      <c r="F5" s="96"/>
      <c r="G5" s="96"/>
      <c r="H5" s="96"/>
      <c r="I5" s="96"/>
      <c r="J5" s="96"/>
    </row>
    <row r="6" spans="1:16" ht="19.5" customHeight="1">
      <c r="A6" s="95"/>
      <c r="B6" s="96"/>
      <c r="C6" s="96"/>
      <c r="D6" s="96"/>
      <c r="E6" s="96"/>
      <c r="F6" s="96"/>
      <c r="G6" s="96"/>
      <c r="H6" s="96"/>
      <c r="I6" s="96"/>
      <c r="J6" s="6"/>
    </row>
    <row r="7" spans="1:16" ht="19.5" customHeight="1">
      <c r="A7" s="95"/>
      <c r="B7" s="96"/>
      <c r="C7" s="96"/>
      <c r="D7" s="96"/>
      <c r="E7" s="96"/>
      <c r="F7" s="96"/>
      <c r="G7" s="96"/>
      <c r="H7" s="96"/>
      <c r="I7" s="96"/>
      <c r="J7" s="6"/>
      <c r="M7" s="95"/>
    </row>
    <row r="8" spans="1:16" ht="19.5" customHeight="1">
      <c r="A8" s="97"/>
      <c r="B8" s="98"/>
      <c r="C8" s="98"/>
      <c r="D8" s="98"/>
      <c r="E8" s="98"/>
      <c r="F8" s="98"/>
      <c r="G8" s="98"/>
      <c r="H8" s="98"/>
      <c r="I8" s="98"/>
      <c r="J8" s="99"/>
    </row>
    <row r="9" spans="1:16" ht="19.5" customHeight="1">
      <c r="A9" s="95"/>
      <c r="B9" s="96"/>
      <c r="C9" s="96"/>
      <c r="D9" s="96"/>
      <c r="E9" s="96"/>
      <c r="F9" s="96"/>
      <c r="G9" s="96"/>
      <c r="H9" s="96"/>
      <c r="I9" s="96"/>
      <c r="J9" s="6"/>
    </row>
    <row r="10" spans="1:16" ht="19.5" customHeight="1">
      <c r="A10" s="95"/>
      <c r="B10" s="96"/>
      <c r="C10" s="96"/>
      <c r="D10" s="96"/>
      <c r="E10" s="96"/>
      <c r="F10" s="96"/>
      <c r="G10" s="96"/>
      <c r="H10" s="96"/>
      <c r="I10" s="96"/>
      <c r="J10" s="6"/>
    </row>
    <row r="11" spans="1:16" ht="19.5" customHeight="1">
      <c r="A11" s="95"/>
      <c r="B11" s="96"/>
      <c r="C11" s="96"/>
      <c r="D11" s="96"/>
      <c r="E11" s="96"/>
      <c r="F11" s="96"/>
      <c r="G11" s="96"/>
      <c r="H11" s="96"/>
      <c r="I11" s="96"/>
      <c r="J11" s="6"/>
    </row>
    <row r="12" spans="1:16" ht="14.4">
      <c r="A12" s="95"/>
      <c r="B12" s="96"/>
      <c r="C12" s="96"/>
      <c r="D12" s="96"/>
      <c r="E12" s="96"/>
      <c r="F12" s="96"/>
      <c r="G12" s="96"/>
      <c r="H12" s="96"/>
      <c r="I12" s="96"/>
      <c r="J12" s="6"/>
      <c r="P12" s="100" t="e">
        <f>MATCH(N6,$B$8:$J$8, 0)</f>
        <v>#N/A</v>
      </c>
    </row>
    <row r="14" spans="1:16" ht="14.4">
      <c r="A14" s="101" t="s">
        <v>312</v>
      </c>
      <c r="G14" s="5">
        <f>COUNTA(A5:A12)</f>
        <v>0</v>
      </c>
    </row>
    <row r="15" spans="1:16" ht="14.4">
      <c r="A15" s="101" t="s">
        <v>313</v>
      </c>
      <c r="H15" s="5" t="s">
        <v>314</v>
      </c>
      <c r="I15" s="5" t="s">
        <v>315</v>
      </c>
    </row>
    <row r="16" spans="1:16" ht="14.4">
      <c r="G16" s="5" t="s">
        <v>316</v>
      </c>
      <c r="H16" s="5" t="e">
        <f>VLOOKUP(G16,$A$5:$J$12,4,0)</f>
        <v>#N/A</v>
      </c>
    </row>
    <row r="17" spans="7:7" ht="14.4">
      <c r="G17" s="5" t="s">
        <v>317</v>
      </c>
    </row>
    <row r="21" spans="7:7" ht="15.75" customHeight="1"/>
    <row r="22" spans="7:7" ht="15.75" customHeight="1"/>
    <row r="23" spans="7:7" ht="15.75" customHeight="1"/>
    <row r="24" spans="7:7" ht="15.75" customHeight="1"/>
    <row r="25" spans="7:7" ht="15.75" customHeight="1"/>
    <row r="26" spans="7:7" ht="15.75" customHeight="1"/>
    <row r="27" spans="7:7" ht="15.75" customHeight="1"/>
    <row r="28" spans="7:7" ht="15.75" customHeight="1"/>
    <row r="29" spans="7:7" ht="15.75" customHeight="1"/>
    <row r="30" spans="7:7" ht="15.75" customHeight="1"/>
    <row r="31" spans="7:7" ht="15.75" customHeight="1"/>
    <row r="32" spans="7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8D38-28E8-421B-AC90-24BD3B0C395F}">
  <dimension ref="C3:D28"/>
  <sheetViews>
    <sheetView topLeftCell="B1" zoomScale="87" zoomScaleNormal="400" workbookViewId="0">
      <selection activeCell="D19" sqref="D19"/>
    </sheetView>
  </sheetViews>
  <sheetFormatPr defaultRowHeight="14.4"/>
  <cols>
    <col min="1" max="1" width="12.44140625" bestFit="1" customWidth="1"/>
    <col min="2" max="2" width="11.44140625" bestFit="1" customWidth="1"/>
    <col min="3" max="3" width="12.88671875" bestFit="1" customWidth="1"/>
    <col min="4" max="4" width="11.33203125" bestFit="1" customWidth="1"/>
  </cols>
  <sheetData>
    <row r="3" spans="3:4">
      <c r="C3" s="275" t="s">
        <v>1229</v>
      </c>
      <c r="D3" s="288" t="s">
        <v>1230</v>
      </c>
    </row>
    <row r="4" spans="3:4">
      <c r="C4" s="289" t="s">
        <v>330</v>
      </c>
      <c r="D4" s="290">
        <v>8120</v>
      </c>
    </row>
    <row r="5" spans="3:4">
      <c r="C5" s="291" t="s">
        <v>325</v>
      </c>
      <c r="D5" s="292">
        <v>24147</v>
      </c>
    </row>
    <row r="6" spans="3:4">
      <c r="C6" s="291" t="s">
        <v>329</v>
      </c>
      <c r="D6" s="292">
        <v>18036</v>
      </c>
    </row>
    <row r="7" spans="3:4">
      <c r="C7" s="291" t="s">
        <v>221</v>
      </c>
      <c r="D7" s="292">
        <v>45370</v>
      </c>
    </row>
    <row r="8" spans="3:4">
      <c r="C8" s="295" t="s">
        <v>236</v>
      </c>
      <c r="D8" s="296">
        <v>57251</v>
      </c>
    </row>
    <row r="14" spans="3:4">
      <c r="C14" s="275" t="s">
        <v>1229</v>
      </c>
      <c r="D14" s="288" t="s">
        <v>1230</v>
      </c>
    </row>
    <row r="15" spans="3:4">
      <c r="C15" s="289" t="s">
        <v>323</v>
      </c>
      <c r="D15" s="290">
        <v>143226</v>
      </c>
    </row>
    <row r="16" spans="3:4">
      <c r="C16" s="291" t="s">
        <v>326</v>
      </c>
      <c r="D16" s="292">
        <v>9698</v>
      </c>
    </row>
    <row r="17" spans="3:4">
      <c r="C17" s="293" t="s">
        <v>28</v>
      </c>
      <c r="D17" s="294">
        <v>152924</v>
      </c>
    </row>
    <row r="23" spans="3:4">
      <c r="C23" s="275" t="s">
        <v>1229</v>
      </c>
      <c r="D23" s="288" t="s">
        <v>1230</v>
      </c>
    </row>
    <row r="24" spans="3:4">
      <c r="C24" s="289" t="s">
        <v>331</v>
      </c>
      <c r="D24" s="290">
        <v>29569</v>
      </c>
    </row>
    <row r="25" spans="3:4">
      <c r="C25" s="291" t="s">
        <v>328</v>
      </c>
      <c r="D25" s="292">
        <v>23238</v>
      </c>
    </row>
    <row r="26" spans="3:4">
      <c r="C26" s="291" t="s">
        <v>324</v>
      </c>
      <c r="D26" s="292">
        <v>51929</v>
      </c>
    </row>
    <row r="27" spans="3:4">
      <c r="C27" s="291" t="s">
        <v>327</v>
      </c>
      <c r="D27" s="292">
        <v>48188</v>
      </c>
    </row>
    <row r="28" spans="3:4">
      <c r="C28" s="293" t="s">
        <v>28</v>
      </c>
      <c r="D28" s="294">
        <v>152924</v>
      </c>
    </row>
  </sheetData>
  <pageMargins left="0.7" right="0.7" top="0.75" bottom="0.75" header="0.3" footer="0.3"/>
  <pageSetup orientation="portrait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00"/>
  <sheetViews>
    <sheetView topLeftCell="S1" workbookViewId="0">
      <selection activeCell="A5" sqref="A4:D18"/>
    </sheetView>
  </sheetViews>
  <sheetFormatPr defaultColWidth="14.44140625" defaultRowHeight="15" customHeight="1"/>
  <cols>
    <col min="1" max="1" width="11.33203125" customWidth="1"/>
    <col min="2" max="2" width="15.6640625" customWidth="1"/>
    <col min="3" max="3" width="11.33203125" customWidth="1"/>
    <col min="4" max="4" width="11.109375" customWidth="1"/>
    <col min="5" max="26" width="8" customWidth="1"/>
  </cols>
  <sheetData>
    <row r="1" spans="1:10" ht="18.75" customHeight="1">
      <c r="A1" s="300" t="s">
        <v>318</v>
      </c>
      <c r="B1" s="301"/>
      <c r="C1" s="301"/>
      <c r="D1" s="301"/>
      <c r="E1" s="14"/>
      <c r="F1" s="14"/>
      <c r="G1" s="14"/>
      <c r="H1" s="14"/>
      <c r="I1" s="14"/>
      <c r="J1" s="14"/>
    </row>
    <row r="2" spans="1:10" ht="14.4">
      <c r="A2" s="303" t="s">
        <v>319</v>
      </c>
      <c r="B2" s="301"/>
      <c r="C2" s="301"/>
      <c r="D2" s="301"/>
      <c r="E2" s="11"/>
      <c r="F2" s="11"/>
      <c r="G2" s="11"/>
      <c r="H2" s="11"/>
      <c r="I2" s="11"/>
      <c r="J2" s="11"/>
    </row>
    <row r="4" spans="1:10" ht="14.4">
      <c r="A4" s="102" t="s">
        <v>212</v>
      </c>
      <c r="B4" s="102" t="s">
        <v>320</v>
      </c>
      <c r="C4" s="102" t="s">
        <v>321</v>
      </c>
      <c r="D4" s="102" t="s">
        <v>322</v>
      </c>
    </row>
    <row r="5" spans="1:10" ht="14.4">
      <c r="A5" s="6" t="s">
        <v>221</v>
      </c>
      <c r="B5" s="103">
        <v>16753</v>
      </c>
      <c r="C5" s="6" t="s">
        <v>323</v>
      </c>
      <c r="D5" s="6" t="s">
        <v>324</v>
      </c>
    </row>
    <row r="6" spans="1:10" ht="14.4">
      <c r="A6" s="6" t="s">
        <v>325</v>
      </c>
      <c r="B6" s="103">
        <v>14808</v>
      </c>
      <c r="C6" s="6" t="s">
        <v>323</v>
      </c>
      <c r="D6" s="6" t="s">
        <v>327</v>
      </c>
    </row>
    <row r="7" spans="1:10" ht="14.4">
      <c r="A7" s="6" t="s">
        <v>236</v>
      </c>
      <c r="B7" s="103">
        <v>10644</v>
      </c>
      <c r="C7" s="6" t="s">
        <v>323</v>
      </c>
      <c r="D7" s="6" t="s">
        <v>328</v>
      </c>
    </row>
    <row r="8" spans="1:10" ht="14.4">
      <c r="A8" s="6" t="s">
        <v>329</v>
      </c>
      <c r="B8" s="103">
        <v>1390</v>
      </c>
      <c r="C8" s="6" t="s">
        <v>323</v>
      </c>
      <c r="D8" s="6" t="s">
        <v>324</v>
      </c>
    </row>
    <row r="9" spans="1:10" ht="14.4">
      <c r="A9" s="6" t="s">
        <v>330</v>
      </c>
      <c r="B9" s="103">
        <v>4865</v>
      </c>
      <c r="C9" s="6" t="s">
        <v>323</v>
      </c>
      <c r="D9" s="6" t="s">
        <v>327</v>
      </c>
    </row>
    <row r="10" spans="1:10" ht="14.4">
      <c r="A10" s="6" t="s">
        <v>236</v>
      </c>
      <c r="B10" s="103">
        <v>12438</v>
      </c>
      <c r="C10" s="6" t="s">
        <v>323</v>
      </c>
      <c r="D10" s="6" t="s">
        <v>331</v>
      </c>
    </row>
    <row r="11" spans="1:10" ht="14.4">
      <c r="A11" s="6" t="s">
        <v>325</v>
      </c>
      <c r="B11" s="103">
        <v>9339</v>
      </c>
      <c r="C11" s="6" t="s">
        <v>323</v>
      </c>
      <c r="D11" s="6" t="s">
        <v>328</v>
      </c>
    </row>
    <row r="12" spans="1:10" ht="14.4">
      <c r="A12" s="6" t="s">
        <v>221</v>
      </c>
      <c r="B12" s="103">
        <v>18919</v>
      </c>
      <c r="C12" s="6" t="s">
        <v>323</v>
      </c>
      <c r="D12" s="6" t="s">
        <v>324</v>
      </c>
    </row>
    <row r="13" spans="1:10" ht="14.4">
      <c r="A13" s="6" t="s">
        <v>329</v>
      </c>
      <c r="B13" s="103">
        <v>9213</v>
      </c>
      <c r="C13" s="6" t="s">
        <v>323</v>
      </c>
      <c r="D13" s="6" t="s">
        <v>327</v>
      </c>
    </row>
    <row r="14" spans="1:10" ht="14.4">
      <c r="A14" s="6" t="s">
        <v>329</v>
      </c>
      <c r="B14" s="103">
        <v>7433</v>
      </c>
      <c r="C14" s="6" t="s">
        <v>323</v>
      </c>
      <c r="D14" s="6" t="s">
        <v>331</v>
      </c>
    </row>
    <row r="15" spans="1:10" ht="14.4">
      <c r="A15" s="6" t="s">
        <v>330</v>
      </c>
      <c r="B15" s="103">
        <v>3255</v>
      </c>
      <c r="C15" s="6" t="s">
        <v>323</v>
      </c>
      <c r="D15" s="6" t="s">
        <v>328</v>
      </c>
    </row>
    <row r="16" spans="1:10" ht="14.4">
      <c r="A16" s="6" t="s">
        <v>236</v>
      </c>
      <c r="B16" s="103">
        <v>14867</v>
      </c>
      <c r="C16" s="6" t="s">
        <v>323</v>
      </c>
      <c r="D16" s="6" t="s">
        <v>324</v>
      </c>
    </row>
    <row r="17" spans="1:4" ht="14.4">
      <c r="A17" s="6" t="s">
        <v>236</v>
      </c>
      <c r="B17" s="103">
        <v>19302</v>
      </c>
      <c r="C17" s="6" t="s">
        <v>323</v>
      </c>
      <c r="D17" s="6" t="s">
        <v>327</v>
      </c>
    </row>
    <row r="18" spans="1:4" ht="14.4">
      <c r="A18" s="6" t="s">
        <v>221</v>
      </c>
      <c r="B18" s="103">
        <v>9698</v>
      </c>
      <c r="C18" s="6" t="s">
        <v>326</v>
      </c>
      <c r="D18" s="6" t="s">
        <v>331</v>
      </c>
    </row>
    <row r="20" spans="1:4" ht="14.4">
      <c r="A20" s="74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A337-D4DE-4BA3-B1B3-13EB18C05F9B}">
  <dimension ref="A3:B19"/>
  <sheetViews>
    <sheetView workbookViewId="0">
      <selection activeCell="N14" sqref="N14"/>
    </sheetView>
  </sheetViews>
  <sheetFormatPr defaultRowHeight="14.4"/>
  <cols>
    <col min="1" max="1" width="12.44140625" bestFit="1" customWidth="1"/>
    <col min="2" max="2" width="12.6640625" bestFit="1" customWidth="1"/>
  </cols>
  <sheetData>
    <row r="3" spans="1:2">
      <c r="A3" s="275" t="s">
        <v>1229</v>
      </c>
      <c r="B3" s="288" t="s">
        <v>1231</v>
      </c>
    </row>
    <row r="4" spans="1:2">
      <c r="A4" s="289" t="s">
        <v>339</v>
      </c>
      <c r="B4" s="297">
        <v>8193618</v>
      </c>
    </row>
    <row r="5" spans="1:2">
      <c r="A5" s="291" t="s">
        <v>348</v>
      </c>
      <c r="B5" s="298">
        <v>8075563</v>
      </c>
    </row>
    <row r="6" spans="1:2">
      <c r="A6" s="293" t="s">
        <v>28</v>
      </c>
      <c r="B6" s="299">
        <v>16269181</v>
      </c>
    </row>
    <row r="12" spans="1:2">
      <c r="A12" s="275" t="s">
        <v>1229</v>
      </c>
      <c r="B12" s="288" t="s">
        <v>1231</v>
      </c>
    </row>
    <row r="13" spans="1:2">
      <c r="A13" s="289" t="s">
        <v>340</v>
      </c>
      <c r="B13" s="297">
        <v>2996510</v>
      </c>
    </row>
    <row r="14" spans="1:2">
      <c r="A14" s="291" t="s">
        <v>342</v>
      </c>
      <c r="B14" s="298">
        <v>2755843</v>
      </c>
    </row>
    <row r="15" spans="1:2">
      <c r="A15" s="291" t="s">
        <v>343</v>
      </c>
      <c r="B15" s="298">
        <v>2883971</v>
      </c>
    </row>
    <row r="16" spans="1:2">
      <c r="A16" s="291" t="s">
        <v>344</v>
      </c>
      <c r="B16" s="298">
        <v>2942701</v>
      </c>
    </row>
    <row r="17" spans="1:2">
      <c r="A17" s="291" t="s">
        <v>345</v>
      </c>
      <c r="B17" s="298">
        <v>2100860</v>
      </c>
    </row>
    <row r="18" spans="1:2">
      <c r="A18" s="291" t="s">
        <v>346</v>
      </c>
      <c r="B18" s="298">
        <v>2589296</v>
      </c>
    </row>
    <row r="19" spans="1:2">
      <c r="A19" s="293" t="s">
        <v>28</v>
      </c>
      <c r="B19" s="299">
        <v>16269181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0"/>
  <sheetViews>
    <sheetView topLeftCell="A32" workbookViewId="0">
      <selection activeCell="F25" sqref="F25"/>
    </sheetView>
  </sheetViews>
  <sheetFormatPr defaultColWidth="14.44140625" defaultRowHeight="15" customHeight="1"/>
  <cols>
    <col min="1" max="1" width="8" customWidth="1"/>
    <col min="2" max="2" width="8.44140625" customWidth="1"/>
    <col min="3" max="3" width="10.44140625" customWidth="1"/>
    <col min="4" max="4" width="10.88671875" customWidth="1"/>
    <col min="5" max="5" width="9.6640625" customWidth="1"/>
    <col min="6" max="6" width="8" customWidth="1"/>
    <col min="7" max="7" width="20.88671875" customWidth="1"/>
    <col min="8" max="8" width="8" customWidth="1"/>
    <col min="9" max="9" width="9.109375" customWidth="1"/>
    <col min="10" max="26" width="8" customWidth="1"/>
  </cols>
  <sheetData>
    <row r="1" spans="1:9" ht="18.75" customHeight="1">
      <c r="A1" s="300" t="s">
        <v>332</v>
      </c>
      <c r="B1" s="301"/>
      <c r="C1" s="301"/>
      <c r="D1" s="301"/>
      <c r="E1" s="301"/>
      <c r="F1" s="301"/>
      <c r="G1" s="301"/>
    </row>
    <row r="2" spans="1:9" ht="14.4">
      <c r="A2" s="304" t="s">
        <v>333</v>
      </c>
      <c r="B2" s="305"/>
      <c r="C2" s="305"/>
      <c r="D2" s="305"/>
      <c r="E2" s="305"/>
      <c r="F2" s="305"/>
      <c r="G2" s="305"/>
    </row>
    <row r="4" spans="1:9" ht="14.4">
      <c r="A4" s="104" t="s">
        <v>334</v>
      </c>
      <c r="B4" s="104" t="s">
        <v>335</v>
      </c>
      <c r="C4" s="104" t="s">
        <v>336</v>
      </c>
      <c r="D4" s="104" t="s">
        <v>337</v>
      </c>
      <c r="E4" s="104" t="s">
        <v>338</v>
      </c>
    </row>
    <row r="5" spans="1:9" ht="14.4">
      <c r="A5" s="105" t="s">
        <v>339</v>
      </c>
      <c r="B5" s="105">
        <v>1998</v>
      </c>
      <c r="C5" s="105" t="s">
        <v>340</v>
      </c>
      <c r="D5" s="105" t="s">
        <v>341</v>
      </c>
      <c r="E5" s="106">
        <v>554536</v>
      </c>
    </row>
    <row r="6" spans="1:9" ht="14.4">
      <c r="A6" s="105" t="s">
        <v>339</v>
      </c>
      <c r="B6" s="105">
        <v>1998</v>
      </c>
      <c r="C6" s="105" t="s">
        <v>342</v>
      </c>
      <c r="D6" s="105" t="s">
        <v>341</v>
      </c>
      <c r="E6" s="106">
        <v>540643</v>
      </c>
    </row>
    <row r="7" spans="1:9" ht="14.4">
      <c r="A7" s="105" t="s">
        <v>339</v>
      </c>
      <c r="B7" s="105">
        <v>1998</v>
      </c>
      <c r="C7" s="105" t="s">
        <v>343</v>
      </c>
      <c r="D7" s="105" t="s">
        <v>341</v>
      </c>
      <c r="E7" s="106">
        <v>577548</v>
      </c>
    </row>
    <row r="8" spans="1:9" ht="14.4">
      <c r="A8" s="105" t="s">
        <v>339</v>
      </c>
      <c r="B8" s="105">
        <v>1998</v>
      </c>
      <c r="C8" s="105" t="s">
        <v>344</v>
      </c>
      <c r="D8" s="105" t="s">
        <v>341</v>
      </c>
      <c r="E8" s="106">
        <v>455905</v>
      </c>
    </row>
    <row r="9" spans="1:9" ht="14.4">
      <c r="A9" s="105" t="s">
        <v>339</v>
      </c>
      <c r="B9" s="105">
        <v>1998</v>
      </c>
      <c r="C9" s="105" t="s">
        <v>345</v>
      </c>
      <c r="D9" s="105" t="s">
        <v>341</v>
      </c>
      <c r="E9" s="106">
        <v>490871</v>
      </c>
    </row>
    <row r="10" spans="1:9" ht="14.4">
      <c r="A10" s="105" t="s">
        <v>339</v>
      </c>
      <c r="B10" s="105">
        <v>1998</v>
      </c>
      <c r="C10" s="105" t="s">
        <v>346</v>
      </c>
      <c r="D10" s="105" t="s">
        <v>341</v>
      </c>
      <c r="E10" s="106">
        <v>446383</v>
      </c>
      <c r="I10" s="105"/>
    </row>
    <row r="11" spans="1:9" ht="14.4">
      <c r="A11" s="105" t="s">
        <v>339</v>
      </c>
      <c r="B11" s="105">
        <v>1998</v>
      </c>
      <c r="C11" s="105" t="s">
        <v>340</v>
      </c>
      <c r="D11" s="105" t="s">
        <v>347</v>
      </c>
      <c r="E11" s="106">
        <v>457726</v>
      </c>
    </row>
    <row r="12" spans="1:9" ht="14.4">
      <c r="A12" s="105" t="s">
        <v>339</v>
      </c>
      <c r="B12" s="105">
        <v>1998</v>
      </c>
      <c r="C12" s="105" t="s">
        <v>342</v>
      </c>
      <c r="D12" s="105" t="s">
        <v>347</v>
      </c>
      <c r="E12" s="106">
        <v>347696</v>
      </c>
    </row>
    <row r="13" spans="1:9" ht="14.4">
      <c r="A13" s="105" t="s">
        <v>339</v>
      </c>
      <c r="B13" s="105">
        <v>1998</v>
      </c>
      <c r="C13" s="105" t="s">
        <v>343</v>
      </c>
      <c r="D13" s="105" t="s">
        <v>347</v>
      </c>
      <c r="E13" s="106">
        <v>384541</v>
      </c>
      <c r="G13" s="105"/>
    </row>
    <row r="14" spans="1:9" ht="14.4">
      <c r="A14" s="105" t="s">
        <v>339</v>
      </c>
      <c r="B14" s="105">
        <v>1998</v>
      </c>
      <c r="C14" s="105" t="s">
        <v>344</v>
      </c>
      <c r="D14" s="105" t="s">
        <v>347</v>
      </c>
      <c r="E14" s="106">
        <v>386420</v>
      </c>
    </row>
    <row r="15" spans="1:9" ht="14.4">
      <c r="A15" s="105" t="s">
        <v>339</v>
      </c>
      <c r="B15" s="105">
        <v>1998</v>
      </c>
      <c r="C15" s="105" t="s">
        <v>345</v>
      </c>
      <c r="D15" s="105" t="s">
        <v>347</v>
      </c>
      <c r="E15" s="106">
        <v>370970</v>
      </c>
    </row>
    <row r="16" spans="1:9" ht="14.4">
      <c r="A16" s="105" t="s">
        <v>339</v>
      </c>
      <c r="B16" s="105">
        <v>1998</v>
      </c>
      <c r="C16" s="105" t="s">
        <v>346</v>
      </c>
      <c r="D16" s="105" t="s">
        <v>347</v>
      </c>
      <c r="E16" s="106">
        <v>430754</v>
      </c>
      <c r="G16" s="105"/>
    </row>
    <row r="17" spans="1:5" ht="14.4">
      <c r="A17" s="105" t="s">
        <v>339</v>
      </c>
      <c r="B17" s="105">
        <v>1998</v>
      </c>
      <c r="C17" s="105" t="s">
        <v>340</v>
      </c>
      <c r="D17" s="105" t="s">
        <v>349</v>
      </c>
      <c r="E17" s="106">
        <v>500847</v>
      </c>
    </row>
    <row r="18" spans="1:5" ht="14.4">
      <c r="A18" s="105" t="s">
        <v>339</v>
      </c>
      <c r="B18" s="105">
        <v>1998</v>
      </c>
      <c r="C18" s="105" t="s">
        <v>342</v>
      </c>
      <c r="D18" s="105" t="s">
        <v>349</v>
      </c>
      <c r="E18" s="106">
        <v>507070</v>
      </c>
    </row>
    <row r="19" spans="1:5" ht="14.4">
      <c r="A19" s="105" t="s">
        <v>339</v>
      </c>
      <c r="B19" s="105">
        <v>1998</v>
      </c>
      <c r="C19" s="105" t="s">
        <v>343</v>
      </c>
      <c r="D19" s="105" t="s">
        <v>349</v>
      </c>
      <c r="E19" s="106">
        <v>482346</v>
      </c>
    </row>
    <row r="20" spans="1:5" ht="14.4">
      <c r="A20" s="105" t="s">
        <v>339</v>
      </c>
      <c r="B20" s="105">
        <v>1998</v>
      </c>
      <c r="C20" s="105" t="s">
        <v>344</v>
      </c>
      <c r="D20" s="105" t="s">
        <v>349</v>
      </c>
      <c r="E20" s="106">
        <v>608713</v>
      </c>
    </row>
    <row r="21" spans="1:5" ht="15.75" customHeight="1">
      <c r="A21" s="105" t="s">
        <v>339</v>
      </c>
      <c r="B21" s="105">
        <v>1998</v>
      </c>
      <c r="C21" s="105" t="s">
        <v>345</v>
      </c>
      <c r="D21" s="105" t="s">
        <v>349</v>
      </c>
      <c r="E21" s="106">
        <v>150000</v>
      </c>
    </row>
    <row r="22" spans="1:5" ht="15.75" customHeight="1">
      <c r="A22" s="105" t="s">
        <v>339</v>
      </c>
      <c r="B22" s="105">
        <v>1998</v>
      </c>
      <c r="C22" s="105" t="s">
        <v>346</v>
      </c>
      <c r="D22" s="105" t="s">
        <v>349</v>
      </c>
      <c r="E22" s="106">
        <v>500649</v>
      </c>
    </row>
    <row r="23" spans="1:5" ht="15.75" customHeight="1">
      <c r="A23" s="105" t="s">
        <v>348</v>
      </c>
      <c r="B23" s="105">
        <v>1998</v>
      </c>
      <c r="C23" s="105" t="s">
        <v>340</v>
      </c>
      <c r="D23" s="105" t="s">
        <v>341</v>
      </c>
      <c r="E23" s="106">
        <v>545780</v>
      </c>
    </row>
    <row r="24" spans="1:5" ht="15.75" customHeight="1">
      <c r="A24" s="105" t="s">
        <v>348</v>
      </c>
      <c r="B24" s="105">
        <v>1998</v>
      </c>
      <c r="C24" s="105" t="s">
        <v>342</v>
      </c>
      <c r="D24" s="105" t="s">
        <v>341</v>
      </c>
      <c r="E24" s="106">
        <v>440644</v>
      </c>
    </row>
    <row r="25" spans="1:5" ht="15.75" customHeight="1">
      <c r="A25" s="105" t="s">
        <v>348</v>
      </c>
      <c r="B25" s="105">
        <v>1998</v>
      </c>
      <c r="C25" s="105" t="s">
        <v>343</v>
      </c>
      <c r="D25" s="105" t="s">
        <v>341</v>
      </c>
      <c r="E25" s="106">
        <v>580359</v>
      </c>
    </row>
    <row r="26" spans="1:5" ht="15.75" customHeight="1">
      <c r="A26" s="105" t="s">
        <v>348</v>
      </c>
      <c r="B26" s="105">
        <v>1998</v>
      </c>
      <c r="C26" s="105" t="s">
        <v>344</v>
      </c>
      <c r="D26" s="105" t="s">
        <v>341</v>
      </c>
      <c r="E26" s="106">
        <v>536225</v>
      </c>
    </row>
    <row r="27" spans="1:5" ht="15.75" customHeight="1">
      <c r="A27" s="105" t="s">
        <v>348</v>
      </c>
      <c r="B27" s="105">
        <v>1998</v>
      </c>
      <c r="C27" s="105" t="s">
        <v>345</v>
      </c>
      <c r="D27" s="105" t="s">
        <v>341</v>
      </c>
      <c r="E27" s="106">
        <v>414908</v>
      </c>
    </row>
    <row r="28" spans="1:5" ht="15.75" customHeight="1">
      <c r="A28" s="105" t="s">
        <v>348</v>
      </c>
      <c r="B28" s="105">
        <v>1998</v>
      </c>
      <c r="C28" s="105" t="s">
        <v>346</v>
      </c>
      <c r="D28" s="105" t="s">
        <v>341</v>
      </c>
      <c r="E28" s="106">
        <v>377997</v>
      </c>
    </row>
    <row r="29" spans="1:5" ht="15.75" customHeight="1">
      <c r="A29" s="105" t="s">
        <v>348</v>
      </c>
      <c r="B29" s="105">
        <v>1998</v>
      </c>
      <c r="C29" s="105" t="s">
        <v>340</v>
      </c>
      <c r="D29" s="105" t="s">
        <v>347</v>
      </c>
      <c r="E29" s="106">
        <v>331289</v>
      </c>
    </row>
    <row r="30" spans="1:5" ht="15.75" customHeight="1">
      <c r="A30" s="105" t="s">
        <v>348</v>
      </c>
      <c r="B30" s="105">
        <v>1998</v>
      </c>
      <c r="C30" s="105" t="s">
        <v>342</v>
      </c>
      <c r="D30" s="105" t="s">
        <v>347</v>
      </c>
      <c r="E30" s="106">
        <v>384572</v>
      </c>
    </row>
    <row r="31" spans="1:5" ht="15.75" customHeight="1">
      <c r="A31" s="105" t="s">
        <v>348</v>
      </c>
      <c r="B31" s="105">
        <v>1998</v>
      </c>
      <c r="C31" s="105" t="s">
        <v>343</v>
      </c>
      <c r="D31" s="105" t="s">
        <v>347</v>
      </c>
      <c r="E31" s="106">
        <v>365813</v>
      </c>
    </row>
    <row r="32" spans="1:5" ht="15.75" customHeight="1">
      <c r="A32" s="105" t="s">
        <v>348</v>
      </c>
      <c r="B32" s="105">
        <v>1998</v>
      </c>
      <c r="C32" s="105" t="s">
        <v>344</v>
      </c>
      <c r="D32" s="105" t="s">
        <v>347</v>
      </c>
      <c r="E32" s="106">
        <v>396338</v>
      </c>
    </row>
    <row r="33" spans="1:11" ht="15.75" customHeight="1">
      <c r="A33" s="105" t="s">
        <v>348</v>
      </c>
      <c r="B33" s="105">
        <v>1998</v>
      </c>
      <c r="C33" s="105" t="s">
        <v>345</v>
      </c>
      <c r="D33" s="105" t="s">
        <v>347</v>
      </c>
      <c r="E33" s="106">
        <v>453761</v>
      </c>
    </row>
    <row r="34" spans="1:11" ht="15.75" customHeight="1">
      <c r="A34" s="105" t="s">
        <v>348</v>
      </c>
      <c r="B34" s="105">
        <v>1998</v>
      </c>
      <c r="C34" s="105" t="s">
        <v>346</v>
      </c>
      <c r="D34" s="105" t="s">
        <v>347</v>
      </c>
      <c r="E34" s="106">
        <v>356538</v>
      </c>
    </row>
    <row r="35" spans="1:11" ht="15.75" customHeight="1">
      <c r="A35" s="105" t="s">
        <v>348</v>
      </c>
      <c r="B35" s="105">
        <v>1998</v>
      </c>
      <c r="C35" s="105" t="s">
        <v>340</v>
      </c>
      <c r="D35" s="105" t="s">
        <v>349</v>
      </c>
      <c r="E35" s="106">
        <v>606332</v>
      </c>
    </row>
    <row r="36" spans="1:11" ht="15.75" customHeight="1">
      <c r="A36" s="105" t="s">
        <v>348</v>
      </c>
      <c r="B36" s="105">
        <v>1998</v>
      </c>
      <c r="C36" s="105" t="s">
        <v>342</v>
      </c>
      <c r="D36" s="105" t="s">
        <v>349</v>
      </c>
      <c r="E36" s="106">
        <v>535218</v>
      </c>
    </row>
    <row r="37" spans="1:11" ht="15.75" customHeight="1">
      <c r="A37" s="105" t="s">
        <v>348</v>
      </c>
      <c r="B37" s="105">
        <v>1998</v>
      </c>
      <c r="C37" s="105" t="s">
        <v>343</v>
      </c>
      <c r="D37" s="105" t="s">
        <v>349</v>
      </c>
      <c r="E37" s="106">
        <v>493364</v>
      </c>
    </row>
    <row r="38" spans="1:11" ht="15.75" customHeight="1">
      <c r="A38" s="105" t="s">
        <v>348</v>
      </c>
      <c r="B38" s="105">
        <v>1998</v>
      </c>
      <c r="C38" s="105" t="s">
        <v>344</v>
      </c>
      <c r="D38" s="105" t="s">
        <v>349</v>
      </c>
      <c r="E38" s="106">
        <v>559100</v>
      </c>
    </row>
    <row r="39" spans="1:11" ht="15.75" customHeight="1">
      <c r="A39" s="105" t="s">
        <v>348</v>
      </c>
      <c r="B39" s="105">
        <v>1998</v>
      </c>
      <c r="C39" s="105" t="s">
        <v>345</v>
      </c>
      <c r="D39" s="105" t="s">
        <v>349</v>
      </c>
      <c r="E39" s="106">
        <v>220350</v>
      </c>
    </row>
    <row r="40" spans="1:11" ht="15.75" customHeight="1">
      <c r="A40" s="105" t="s">
        <v>348</v>
      </c>
      <c r="B40" s="105">
        <v>1998</v>
      </c>
      <c r="C40" s="105" t="s">
        <v>346</v>
      </c>
      <c r="D40" s="105" t="s">
        <v>349</v>
      </c>
      <c r="E40" s="106">
        <v>476975</v>
      </c>
    </row>
    <row r="41" spans="1:11" ht="15.75" customHeight="1"/>
    <row r="42" spans="1:11" ht="15.75" customHeight="1">
      <c r="A42" s="69" t="s">
        <v>11</v>
      </c>
      <c r="B42" s="11"/>
      <c r="G42" s="56" t="s">
        <v>350</v>
      </c>
      <c r="H42" s="56"/>
      <c r="J42" s="5">
        <f>COUNTIFS(D5:D40,"california",A5:A40,"fall")</f>
        <v>6</v>
      </c>
      <c r="K42">
        <f>COUNTIFS(D5:D40,"washington",A5:A40,"fall")</f>
        <v>6</v>
      </c>
    </row>
    <row r="43" spans="1:11" ht="15.75" customHeight="1">
      <c r="A43" s="92" t="s">
        <v>351</v>
      </c>
      <c r="B43" s="92"/>
      <c r="C43" s="74"/>
      <c r="D43" s="74"/>
      <c r="G43" s="56" t="s">
        <v>352</v>
      </c>
      <c r="H43" s="56"/>
    </row>
    <row r="44" spans="1:11" ht="15.75" customHeight="1">
      <c r="A44" s="92" t="s">
        <v>353</v>
      </c>
      <c r="B44" s="92"/>
      <c r="C44" s="74"/>
      <c r="D44" s="74"/>
      <c r="G44" s="56" t="s">
        <v>354</v>
      </c>
      <c r="H44" s="56"/>
      <c r="J44">
        <f>SUMIFS(E5:E40,D5:D40,"washington",A5:A40,"Spring")</f>
        <v>2891339</v>
      </c>
      <c r="K44">
        <f>SUMIFS(E5:E40,D5:D40,"california",A5:A40,"Spring")</f>
        <v>2895913</v>
      </c>
    </row>
    <row r="45" spans="1:11" ht="15.75" customHeight="1">
      <c r="A45" s="92" t="s">
        <v>355</v>
      </c>
      <c r="B45" s="92"/>
      <c r="C45" s="74"/>
      <c r="D45" s="74"/>
      <c r="G45" s="56" t="s">
        <v>352</v>
      </c>
      <c r="H45" s="56"/>
      <c r="J45">
        <f>COUNTIFS(D5:D40,"washington",A5:A40,"spring")</f>
        <v>6</v>
      </c>
    </row>
    <row r="46" spans="1:11" ht="15.75" customHeight="1">
      <c r="A46" s="92" t="s">
        <v>356</v>
      </c>
      <c r="B46" s="92"/>
      <c r="C46" s="74"/>
      <c r="D46" s="74"/>
    </row>
    <row r="47" spans="1:11" ht="15.75" customHeight="1">
      <c r="A47" s="74"/>
      <c r="B47" s="74"/>
      <c r="C47" s="74"/>
      <c r="D47" s="74"/>
    </row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000"/>
  <sheetViews>
    <sheetView workbookViewId="0">
      <pane ySplit="4" topLeftCell="A36" activePane="bottomLeft" state="frozen"/>
      <selection pane="bottomLeft" activeCell="C51" sqref="C51"/>
    </sheetView>
  </sheetViews>
  <sheetFormatPr defaultColWidth="14.44140625" defaultRowHeight="15" customHeight="1"/>
  <cols>
    <col min="1" max="1" width="17.44140625" customWidth="1"/>
    <col min="2" max="2" width="13.109375" customWidth="1"/>
    <col min="3" max="3" width="14" customWidth="1"/>
    <col min="4" max="4" width="17" customWidth="1"/>
    <col min="5" max="5" width="14.109375" customWidth="1"/>
    <col min="6" max="6" width="16.33203125" customWidth="1"/>
    <col min="7" max="12" width="8" customWidth="1"/>
    <col min="13" max="13" width="9.5546875" customWidth="1"/>
    <col min="14" max="26" width="8" customWidth="1"/>
  </cols>
  <sheetData>
    <row r="1" spans="1:6" ht="18.75" customHeight="1">
      <c r="A1" s="300" t="s">
        <v>357</v>
      </c>
      <c r="B1" s="301"/>
      <c r="C1" s="301"/>
      <c r="D1" s="301"/>
      <c r="E1" s="301"/>
      <c r="F1" s="301"/>
    </row>
    <row r="2" spans="1:6" ht="14.4">
      <c r="A2" s="303" t="s">
        <v>358</v>
      </c>
      <c r="B2" s="301"/>
      <c r="C2" s="301"/>
      <c r="D2" s="301"/>
      <c r="E2" s="301"/>
      <c r="F2" s="301"/>
    </row>
    <row r="4" spans="1:6" ht="14.4">
      <c r="A4" s="92" t="s">
        <v>359</v>
      </c>
      <c r="B4" s="92" t="s">
        <v>63</v>
      </c>
      <c r="C4" s="92" t="s">
        <v>360</v>
      </c>
      <c r="D4" s="92" t="s">
        <v>361</v>
      </c>
      <c r="E4" s="74" t="s">
        <v>152</v>
      </c>
      <c r="F4" s="92" t="s">
        <v>321</v>
      </c>
    </row>
    <row r="5" spans="1:6" ht="14.4">
      <c r="A5" s="25">
        <v>1</v>
      </c>
      <c r="B5" s="26" t="s">
        <v>362</v>
      </c>
      <c r="C5" s="26" t="s">
        <v>363</v>
      </c>
      <c r="D5" s="96">
        <v>4270</v>
      </c>
      <c r="E5" s="53">
        <v>42375</v>
      </c>
      <c r="F5" s="34" t="s">
        <v>364</v>
      </c>
    </row>
    <row r="6" spans="1:6" ht="14.4">
      <c r="A6" s="25">
        <v>2</v>
      </c>
      <c r="B6" s="26" t="s">
        <v>365</v>
      </c>
      <c r="C6" s="26" t="s">
        <v>363</v>
      </c>
      <c r="D6" s="96">
        <v>8239</v>
      </c>
      <c r="E6" s="53">
        <v>42376</v>
      </c>
      <c r="F6" s="34" t="s">
        <v>366</v>
      </c>
    </row>
    <row r="7" spans="1:6" ht="14.4">
      <c r="A7" s="25">
        <v>3</v>
      </c>
      <c r="B7" s="26" t="s">
        <v>367</v>
      </c>
      <c r="C7" s="26" t="s">
        <v>368</v>
      </c>
      <c r="D7" s="96">
        <v>617</v>
      </c>
      <c r="E7" s="53">
        <v>42377</v>
      </c>
      <c r="F7" s="34" t="s">
        <v>364</v>
      </c>
    </row>
    <row r="8" spans="1:6" ht="14.4">
      <c r="A8" s="25">
        <v>4</v>
      </c>
      <c r="B8" s="26" t="s">
        <v>367</v>
      </c>
      <c r="C8" s="26" t="s">
        <v>368</v>
      </c>
      <c r="D8" s="96">
        <v>8384</v>
      </c>
      <c r="E8" s="53">
        <v>42379</v>
      </c>
      <c r="F8" s="34" t="s">
        <v>369</v>
      </c>
    </row>
    <row r="9" spans="1:6" ht="14.4">
      <c r="A9" s="25">
        <v>5</v>
      </c>
      <c r="B9" s="26" t="s">
        <v>370</v>
      </c>
      <c r="C9" s="26" t="s">
        <v>363</v>
      </c>
      <c r="D9" s="96">
        <v>2626</v>
      </c>
      <c r="E9" s="53">
        <v>42379</v>
      </c>
      <c r="F9" s="34" t="s">
        <v>371</v>
      </c>
    </row>
    <row r="10" spans="1:6" ht="14.4">
      <c r="A10" s="25">
        <v>6</v>
      </c>
      <c r="B10" s="26" t="s">
        <v>372</v>
      </c>
      <c r="C10" s="26" t="s">
        <v>368</v>
      </c>
      <c r="D10" s="96">
        <v>3610</v>
      </c>
      <c r="E10" s="53">
        <v>42380</v>
      </c>
      <c r="F10" s="34" t="s">
        <v>364</v>
      </c>
    </row>
    <row r="11" spans="1:6" ht="14.4">
      <c r="A11" s="25">
        <v>7</v>
      </c>
      <c r="B11" s="26" t="s">
        <v>365</v>
      </c>
      <c r="C11" s="26" t="s">
        <v>363</v>
      </c>
      <c r="D11" s="96">
        <v>9062</v>
      </c>
      <c r="E11" s="53">
        <v>42380</v>
      </c>
      <c r="F11" s="34" t="s">
        <v>373</v>
      </c>
    </row>
    <row r="12" spans="1:6" ht="14.4">
      <c r="A12" s="25">
        <v>8</v>
      </c>
      <c r="B12" s="26" t="s">
        <v>367</v>
      </c>
      <c r="C12" s="26" t="s">
        <v>368</v>
      </c>
      <c r="D12" s="96">
        <v>6906</v>
      </c>
      <c r="E12" s="53">
        <v>42385</v>
      </c>
      <c r="F12" s="34" t="s">
        <v>374</v>
      </c>
    </row>
    <row r="13" spans="1:6" ht="14.4">
      <c r="A13" s="25">
        <v>9</v>
      </c>
      <c r="B13" s="26" t="s">
        <v>375</v>
      </c>
      <c r="C13" s="26" t="s">
        <v>368</v>
      </c>
      <c r="D13" s="96">
        <v>2417</v>
      </c>
      <c r="E13" s="53">
        <v>42385</v>
      </c>
      <c r="F13" s="34" t="s">
        <v>376</v>
      </c>
    </row>
    <row r="14" spans="1:6" ht="14.4">
      <c r="A14" s="25">
        <v>10</v>
      </c>
      <c r="B14" s="26" t="s">
        <v>375</v>
      </c>
      <c r="C14" s="26" t="s">
        <v>368</v>
      </c>
      <c r="D14" s="96">
        <v>7431</v>
      </c>
      <c r="E14" s="53">
        <v>42385</v>
      </c>
      <c r="F14" s="34" t="s">
        <v>369</v>
      </c>
    </row>
    <row r="15" spans="1:6" ht="14.4">
      <c r="A15" s="25">
        <v>11</v>
      </c>
      <c r="B15" s="26" t="s">
        <v>367</v>
      </c>
      <c r="C15" s="26" t="s">
        <v>368</v>
      </c>
      <c r="D15" s="96">
        <v>8250</v>
      </c>
      <c r="E15" s="53">
        <v>42385</v>
      </c>
      <c r="F15" s="34" t="s">
        <v>371</v>
      </c>
    </row>
    <row r="16" spans="1:6" ht="14.4">
      <c r="A16" s="25">
        <v>12</v>
      </c>
      <c r="B16" s="26" t="s">
        <v>365</v>
      </c>
      <c r="C16" s="26" t="s">
        <v>363</v>
      </c>
      <c r="D16" s="96">
        <v>7012</v>
      </c>
      <c r="E16" s="53">
        <v>42387</v>
      </c>
      <c r="F16" s="34" t="s">
        <v>364</v>
      </c>
    </row>
    <row r="17" spans="1:14" ht="14.4">
      <c r="A17" s="25">
        <v>13</v>
      </c>
      <c r="B17" s="26" t="s">
        <v>362</v>
      </c>
      <c r="C17" s="26" t="s">
        <v>363</v>
      </c>
      <c r="D17" s="96">
        <v>1903</v>
      </c>
      <c r="E17" s="53">
        <v>42389</v>
      </c>
      <c r="F17" s="34" t="s">
        <v>371</v>
      </c>
    </row>
    <row r="18" spans="1:14" ht="14.4">
      <c r="A18" s="25">
        <v>14</v>
      </c>
      <c r="B18" s="26" t="s">
        <v>365</v>
      </c>
      <c r="C18" s="26" t="s">
        <v>363</v>
      </c>
      <c r="D18" s="96">
        <v>2824</v>
      </c>
      <c r="E18" s="53">
        <v>42391</v>
      </c>
      <c r="F18" s="34" t="s">
        <v>369</v>
      </c>
    </row>
    <row r="19" spans="1:14" ht="14.4">
      <c r="A19" s="25">
        <v>15</v>
      </c>
      <c r="B19" s="26" t="s">
        <v>375</v>
      </c>
      <c r="C19" s="26" t="s">
        <v>368</v>
      </c>
      <c r="D19" s="96">
        <v>6946</v>
      </c>
      <c r="E19" s="53">
        <v>42393</v>
      </c>
      <c r="F19" s="34" t="s">
        <v>376</v>
      </c>
    </row>
    <row r="20" spans="1:14" ht="14.4">
      <c r="A20" s="25">
        <v>16</v>
      </c>
      <c r="B20" s="26" t="s">
        <v>367</v>
      </c>
      <c r="C20" s="26" t="s">
        <v>368</v>
      </c>
      <c r="D20" s="96">
        <v>2320</v>
      </c>
      <c r="E20" s="53">
        <v>42396</v>
      </c>
      <c r="F20" s="34" t="s">
        <v>366</v>
      </c>
    </row>
    <row r="21" spans="1:14" ht="15.75" customHeight="1">
      <c r="A21" s="25">
        <v>17</v>
      </c>
      <c r="B21" s="26" t="s">
        <v>367</v>
      </c>
      <c r="C21" s="26" t="s">
        <v>368</v>
      </c>
      <c r="D21" s="96">
        <v>2116</v>
      </c>
      <c r="E21" s="53">
        <v>42397</v>
      </c>
      <c r="F21" s="34" t="s">
        <v>364</v>
      </c>
    </row>
    <row r="22" spans="1:14" ht="15.75" customHeight="1">
      <c r="A22" s="25">
        <v>18</v>
      </c>
      <c r="B22" s="26" t="s">
        <v>367</v>
      </c>
      <c r="C22" s="26" t="s">
        <v>368</v>
      </c>
      <c r="D22" s="96">
        <v>1135</v>
      </c>
      <c r="E22" s="53">
        <v>42399</v>
      </c>
      <c r="F22" s="34" t="s">
        <v>366</v>
      </c>
    </row>
    <row r="23" spans="1:14" ht="15.75" customHeight="1">
      <c r="A23" s="25">
        <v>19</v>
      </c>
      <c r="B23" s="26" t="s">
        <v>365</v>
      </c>
      <c r="C23" s="26" t="s">
        <v>363</v>
      </c>
      <c r="D23" s="96">
        <v>3595</v>
      </c>
      <c r="E23" s="53">
        <v>42399</v>
      </c>
      <c r="F23" s="34" t="s">
        <v>366</v>
      </c>
    </row>
    <row r="24" spans="1:14" ht="15.75" customHeight="1">
      <c r="A24" s="25">
        <v>20</v>
      </c>
      <c r="B24" s="26" t="s">
        <v>375</v>
      </c>
      <c r="C24" s="26" t="s">
        <v>368</v>
      </c>
      <c r="D24" s="96">
        <v>1161</v>
      </c>
      <c r="E24" s="53">
        <v>42402</v>
      </c>
      <c r="F24" s="34" t="s">
        <v>364</v>
      </c>
    </row>
    <row r="25" spans="1:14" ht="15.75" customHeight="1">
      <c r="A25" s="25">
        <v>21</v>
      </c>
      <c r="B25" s="26" t="s">
        <v>372</v>
      </c>
      <c r="C25" s="26" t="s">
        <v>368</v>
      </c>
      <c r="D25" s="96">
        <v>2256</v>
      </c>
      <c r="E25" s="53">
        <v>42404</v>
      </c>
      <c r="F25" s="34" t="s">
        <v>376</v>
      </c>
    </row>
    <row r="26" spans="1:14" ht="15.75" customHeight="1">
      <c r="A26" s="25">
        <v>22</v>
      </c>
      <c r="B26" s="26" t="s">
        <v>367</v>
      </c>
      <c r="C26" s="26" t="s">
        <v>368</v>
      </c>
      <c r="D26" s="96">
        <v>1004</v>
      </c>
      <c r="E26" s="53">
        <v>42411</v>
      </c>
      <c r="F26" s="34" t="s">
        <v>374</v>
      </c>
    </row>
    <row r="27" spans="1:14" ht="15.75" customHeight="1">
      <c r="A27" s="25">
        <v>23</v>
      </c>
      <c r="B27" s="26" t="s">
        <v>367</v>
      </c>
      <c r="C27" s="26" t="s">
        <v>368</v>
      </c>
      <c r="D27" s="96">
        <v>3642</v>
      </c>
      <c r="E27" s="53">
        <v>42414</v>
      </c>
      <c r="F27" s="34" t="s">
        <v>369</v>
      </c>
    </row>
    <row r="28" spans="1:14" ht="15.75" customHeight="1">
      <c r="A28" s="25">
        <v>24</v>
      </c>
      <c r="B28" s="26" t="s">
        <v>367</v>
      </c>
      <c r="C28" s="26" t="s">
        <v>368</v>
      </c>
      <c r="D28" s="96">
        <v>4582</v>
      </c>
      <c r="E28" s="53">
        <v>42417</v>
      </c>
      <c r="F28" s="34" t="s">
        <v>364</v>
      </c>
      <c r="M28" s="34"/>
      <c r="N28" s="34"/>
    </row>
    <row r="29" spans="1:14" ht="15.75" customHeight="1">
      <c r="A29" s="25">
        <v>25</v>
      </c>
      <c r="B29" s="26" t="s">
        <v>370</v>
      </c>
      <c r="C29" s="26" t="s">
        <v>363</v>
      </c>
      <c r="D29" s="96">
        <v>3559</v>
      </c>
      <c r="E29" s="53">
        <v>42417</v>
      </c>
      <c r="F29" s="34" t="s">
        <v>366</v>
      </c>
      <c r="L29" s="26"/>
      <c r="M29" s="5"/>
      <c r="N29" s="5"/>
    </row>
    <row r="30" spans="1:14" ht="15.75" customHeight="1">
      <c r="A30" s="25">
        <v>26</v>
      </c>
      <c r="B30" s="26" t="s">
        <v>362</v>
      </c>
      <c r="C30" s="26" t="s">
        <v>363</v>
      </c>
      <c r="D30" s="96">
        <v>5154</v>
      </c>
      <c r="E30" s="53">
        <v>42417</v>
      </c>
      <c r="F30" s="34" t="s">
        <v>373</v>
      </c>
      <c r="L30" s="107"/>
      <c r="M30" s="5"/>
      <c r="N30" s="5"/>
    </row>
    <row r="31" spans="1:14" ht="15.75" customHeight="1">
      <c r="A31" s="25">
        <v>27</v>
      </c>
      <c r="B31" s="26" t="s">
        <v>377</v>
      </c>
      <c r="C31" s="26" t="s">
        <v>368</v>
      </c>
      <c r="D31" s="96">
        <v>7388</v>
      </c>
      <c r="E31" s="53">
        <v>42418</v>
      </c>
      <c r="F31" s="34" t="s">
        <v>376</v>
      </c>
    </row>
    <row r="32" spans="1:14" ht="15.75" customHeight="1">
      <c r="A32" s="25">
        <v>28</v>
      </c>
      <c r="B32" s="26" t="s">
        <v>370</v>
      </c>
      <c r="C32" s="26" t="s">
        <v>363</v>
      </c>
      <c r="D32" s="96">
        <v>7163</v>
      </c>
      <c r="E32" s="53">
        <v>42418</v>
      </c>
      <c r="F32" s="34" t="s">
        <v>364</v>
      </c>
    </row>
    <row r="33" spans="1:10" ht="15.75" customHeight="1">
      <c r="A33" s="25">
        <v>29</v>
      </c>
      <c r="B33" s="26" t="s">
        <v>370</v>
      </c>
      <c r="C33" s="26" t="s">
        <v>363</v>
      </c>
      <c r="D33" s="96">
        <v>5101</v>
      </c>
      <c r="E33" s="53">
        <v>42420</v>
      </c>
      <c r="F33" s="34" t="s">
        <v>371</v>
      </c>
    </row>
    <row r="34" spans="1:10" ht="15.75" customHeight="1">
      <c r="A34" s="28">
        <v>30</v>
      </c>
      <c r="B34" s="29" t="s">
        <v>375</v>
      </c>
      <c r="C34" s="29" t="s">
        <v>368</v>
      </c>
      <c r="D34" s="108">
        <v>7602</v>
      </c>
      <c r="E34" s="55">
        <v>42421</v>
      </c>
      <c r="F34" s="109" t="s">
        <v>376</v>
      </c>
    </row>
    <row r="35" spans="1:10" ht="15.75" customHeight="1">
      <c r="H35" s="5"/>
      <c r="I35" s="5"/>
      <c r="J35" s="5"/>
    </row>
    <row r="36" spans="1:10" ht="15.75" customHeight="1">
      <c r="A36" s="11" t="s">
        <v>378</v>
      </c>
      <c r="B36" s="11"/>
      <c r="C36" s="11"/>
      <c r="D36" s="11"/>
      <c r="F36" s="56" t="s">
        <v>285</v>
      </c>
      <c r="G36" s="56"/>
      <c r="H36" s="56"/>
      <c r="I36" s="5"/>
      <c r="J36" s="5"/>
    </row>
    <row r="37" spans="1:10" ht="15.75" customHeight="1">
      <c r="A37" s="11" t="s">
        <v>379</v>
      </c>
      <c r="B37" s="11"/>
      <c r="C37" s="11"/>
      <c r="D37" s="11"/>
      <c r="F37" s="56" t="s">
        <v>380</v>
      </c>
      <c r="G37" s="56"/>
      <c r="H37" s="56"/>
    </row>
    <row r="38" spans="1:10" ht="15.75" customHeight="1">
      <c r="A38" s="11" t="s">
        <v>381</v>
      </c>
      <c r="B38" s="11"/>
      <c r="C38" s="11"/>
      <c r="D38" s="11"/>
      <c r="F38" s="56"/>
      <c r="G38" s="56" t="s">
        <v>39</v>
      </c>
      <c r="H38" s="56"/>
      <c r="I38" s="5"/>
    </row>
    <row r="39" spans="1:10" ht="15.75" customHeight="1">
      <c r="A39" s="11" t="s">
        <v>382</v>
      </c>
      <c r="B39" s="11"/>
      <c r="C39" s="11"/>
      <c r="D39" s="11"/>
      <c r="F39" s="56"/>
      <c r="G39" s="56" t="s">
        <v>383</v>
      </c>
      <c r="H39" s="56"/>
    </row>
    <row r="40" spans="1:10" ht="15.75" customHeight="1">
      <c r="A40" s="11" t="s">
        <v>384</v>
      </c>
      <c r="B40" s="11"/>
      <c r="C40" s="11"/>
      <c r="D40" s="11"/>
      <c r="F40" s="56"/>
      <c r="G40" s="56" t="s">
        <v>385</v>
      </c>
      <c r="H40" s="56"/>
      <c r="I40" s="5"/>
    </row>
    <row r="41" spans="1:10" ht="15.75" customHeight="1"/>
    <row r="42" spans="1:10" ht="15.75" customHeight="1"/>
    <row r="43" spans="1:10" ht="15.75" customHeight="1">
      <c r="E43" s="5"/>
    </row>
    <row r="44" spans="1:10" ht="15.75" customHeight="1">
      <c r="C44" s="283" t="s">
        <v>1223</v>
      </c>
      <c r="D44">
        <f>COUNTIF(Table1[Category],"Fruit")</f>
        <v>18</v>
      </c>
      <c r="E44">
        <f>COUNTIF(Table1[Category],"VEGETABLES")</f>
        <v>12</v>
      </c>
    </row>
    <row r="45" spans="1:10" ht="15.75" customHeight="1">
      <c r="C45" s="283" t="s">
        <v>1224</v>
      </c>
      <c r="D45">
        <f>SUMIF(Table1[Product],"BANANA",Table1[Amount])</f>
        <v>38956</v>
      </c>
      <c r="E45">
        <f>SUMIF(B5:B34,"APPLE",Table1[Amount])</f>
        <v>25557</v>
      </c>
    </row>
    <row r="46" spans="1:10" ht="15.75" customHeight="1">
      <c r="C46" s="283" t="s">
        <v>1225</v>
      </c>
      <c r="D46">
        <f>COUNTA(Table1[Product],)</f>
        <v>31</v>
      </c>
    </row>
    <row r="47" spans="1:10" ht="15.75" customHeight="1">
      <c r="C47" s="283" t="s">
        <v>1226</v>
      </c>
      <c r="D47">
        <f>COUNTIFS(Table1[Product],"APPLE",Table1[Country],"CANADA")</f>
        <v>1</v>
      </c>
      <c r="E47">
        <f>COUNTIFS(Table1[Product],"BANANA",Table1[Country],"UNITED KINGDOM")</f>
        <v>2</v>
      </c>
    </row>
    <row r="48" spans="1:10" ht="15.75" customHeight="1">
      <c r="D48">
        <f>COUNTIFS(Table1[Product],"APPLE",Table1[Country],"UNITED STATES")</f>
        <v>1</v>
      </c>
      <c r="E48">
        <f>COUNTIFS(Table1[Product],"BANANA",Table1[Country],"CANADA")</f>
        <v>2</v>
      </c>
    </row>
    <row r="49" spans="2:3" ht="15.75" customHeight="1">
      <c r="B49" s="283" t="s">
        <v>1227</v>
      </c>
      <c r="C49">
        <f>SUMIFS(Table1[Amount],Table1[Product],"APPLE",Table1[Country],"UNITED STATES")</f>
        <v>1161</v>
      </c>
    </row>
    <row r="50" spans="2:3" ht="15.75" customHeight="1">
      <c r="C50">
        <f>SUMIFS(Table1[Amount],Table1[Product],"BANANA",Table1[Country],"UNITED STATES")</f>
        <v>7315</v>
      </c>
    </row>
    <row r="51" spans="2:3" ht="15.75" customHeight="1"/>
    <row r="52" spans="2:3" ht="15.75" customHeight="1"/>
    <row r="53" spans="2:3" ht="15.75" customHeight="1"/>
    <row r="54" spans="2:3" ht="15.75" customHeight="1"/>
    <row r="55" spans="2:3" ht="15.75" customHeight="1"/>
    <row r="56" spans="2:3" ht="15.75" customHeight="1"/>
    <row r="57" spans="2:3" ht="15.75" customHeight="1"/>
    <row r="58" spans="2:3" ht="15.75" customHeight="1"/>
    <row r="59" spans="2:3" ht="15.75" customHeight="1"/>
    <row r="60" spans="2:3" ht="15.75" customHeight="1"/>
    <row r="61" spans="2:3" ht="15.75" customHeight="1"/>
    <row r="62" spans="2:3" ht="15.75" customHeight="1"/>
    <row r="63" spans="2:3" ht="15.75" customHeight="1"/>
    <row r="64" spans="2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honeticPr fontId="44" type="noConversion"/>
  <dataValidations count="2">
    <dataValidation type="custom" allowBlank="1" showDropDown="1" sqref="E5:E34" xr:uid="{00000000-0002-0000-0E00-000000000000}">
      <formula1>OR(NOT(ISERROR(DATEVALUE(E5))), AND(ISNUMBER(E5), LEFT(CELL("format", E5))="D"))</formula1>
    </dataValidation>
    <dataValidation type="custom" allowBlank="1" showDropDown="1" sqref="A5:A34 D5:D34" xr:uid="{00000000-0002-0000-0E00-000001000000}">
      <formula1>AND(ISNUMBER(A5),(NOT(OR(NOT(ISERROR(DATEVALUE(A5))), AND(ISNUMBER(A5), LEFT(CELL("format", A5))="D")))))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00"/>
  <sheetViews>
    <sheetView topLeftCell="A2" workbookViewId="0">
      <selection activeCell="I23" sqref="I23"/>
    </sheetView>
  </sheetViews>
  <sheetFormatPr defaultColWidth="14.44140625" defaultRowHeight="15" customHeight="1"/>
  <cols>
    <col min="1" max="1" width="8" customWidth="1"/>
    <col min="2" max="2" width="14" customWidth="1"/>
    <col min="3" max="3" width="15.5546875" customWidth="1"/>
    <col min="4" max="4" width="15" customWidth="1"/>
    <col min="5" max="26" width="8" customWidth="1"/>
  </cols>
  <sheetData>
    <row r="1" spans="1:9" ht="18.75" customHeight="1">
      <c r="A1" s="300" t="s">
        <v>386</v>
      </c>
      <c r="B1" s="301"/>
      <c r="C1" s="301"/>
      <c r="D1" s="301"/>
      <c r="E1" s="301"/>
      <c r="F1" s="301"/>
      <c r="G1" s="301"/>
    </row>
    <row r="2" spans="1:9" ht="14.4">
      <c r="A2" s="304" t="s">
        <v>387</v>
      </c>
      <c r="B2" s="305"/>
      <c r="C2" s="305"/>
      <c r="D2" s="305"/>
      <c r="E2" s="305"/>
      <c r="F2" s="305"/>
      <c r="G2" s="305"/>
    </row>
    <row r="4" spans="1:9" ht="14.4">
      <c r="A4" s="110" t="s">
        <v>169</v>
      </c>
      <c r="B4" s="110" t="s">
        <v>388</v>
      </c>
      <c r="C4" s="110" t="s">
        <v>321</v>
      </c>
      <c r="D4" s="110" t="s">
        <v>389</v>
      </c>
    </row>
    <row r="5" spans="1:9" ht="14.4">
      <c r="A5" s="26" t="s">
        <v>390</v>
      </c>
      <c r="B5" s="26" t="s">
        <v>391</v>
      </c>
      <c r="C5" s="26" t="s">
        <v>364</v>
      </c>
      <c r="D5" s="26">
        <v>74</v>
      </c>
    </row>
    <row r="6" spans="1:9" ht="14.4">
      <c r="A6" s="26" t="s">
        <v>392</v>
      </c>
      <c r="B6" s="26" t="s">
        <v>393</v>
      </c>
      <c r="C6" s="26" t="s">
        <v>366</v>
      </c>
      <c r="D6" s="26">
        <v>92</v>
      </c>
    </row>
    <row r="7" spans="1:9" ht="14.4">
      <c r="A7" s="26" t="s">
        <v>394</v>
      </c>
      <c r="B7" s="26" t="s">
        <v>391</v>
      </c>
      <c r="C7" s="26" t="s">
        <v>364</v>
      </c>
      <c r="D7" s="26">
        <v>65</v>
      </c>
    </row>
    <row r="8" spans="1:9" ht="14.4">
      <c r="A8" s="26" t="s">
        <v>395</v>
      </c>
      <c r="B8" s="26" t="s">
        <v>393</v>
      </c>
      <c r="C8" s="26" t="s">
        <v>369</v>
      </c>
      <c r="D8" s="26">
        <v>82</v>
      </c>
    </row>
    <row r="9" spans="1:9" ht="14.4">
      <c r="A9" s="26" t="s">
        <v>396</v>
      </c>
      <c r="B9" s="26" t="s">
        <v>393</v>
      </c>
      <c r="C9" s="26" t="s">
        <v>373</v>
      </c>
      <c r="D9" s="26">
        <v>50</v>
      </c>
      <c r="G9" s="5"/>
    </row>
    <row r="10" spans="1:9" ht="14.4">
      <c r="A10" s="26" t="s">
        <v>397</v>
      </c>
      <c r="B10" s="26" t="s">
        <v>393</v>
      </c>
      <c r="C10" s="26" t="s">
        <v>369</v>
      </c>
      <c r="D10" s="26">
        <v>91</v>
      </c>
    </row>
    <row r="11" spans="1:9" ht="14.4">
      <c r="A11" s="26" t="s">
        <v>189</v>
      </c>
      <c r="B11" s="26" t="s">
        <v>393</v>
      </c>
      <c r="C11" s="26" t="s">
        <v>364</v>
      </c>
      <c r="D11" s="26">
        <v>96</v>
      </c>
      <c r="G11" s="5"/>
    </row>
    <row r="12" spans="1:9" ht="14.4">
      <c r="A12" s="26" t="s">
        <v>398</v>
      </c>
      <c r="B12" s="26" t="s">
        <v>391</v>
      </c>
      <c r="C12" s="26" t="s">
        <v>364</v>
      </c>
      <c r="D12" s="26">
        <v>58</v>
      </c>
      <c r="I12" s="350"/>
    </row>
    <row r="13" spans="1:9" ht="14.4">
      <c r="A13" s="26" t="s">
        <v>218</v>
      </c>
      <c r="B13" s="26" t="s">
        <v>391</v>
      </c>
      <c r="C13" s="26" t="s">
        <v>369</v>
      </c>
      <c r="D13" s="26">
        <v>67</v>
      </c>
    </row>
    <row r="14" spans="1:9" ht="14.4">
      <c r="A14" s="26" t="s">
        <v>399</v>
      </c>
      <c r="B14" s="26" t="s">
        <v>393</v>
      </c>
      <c r="C14" s="26" t="s">
        <v>366</v>
      </c>
      <c r="D14" s="26">
        <v>54</v>
      </c>
    </row>
    <row r="15" spans="1:9" ht="14.4">
      <c r="A15" s="26" t="s">
        <v>191</v>
      </c>
      <c r="B15" s="26" t="s">
        <v>391</v>
      </c>
      <c r="C15" s="26" t="s">
        <v>364</v>
      </c>
      <c r="D15" s="26">
        <v>83</v>
      </c>
    </row>
    <row r="17" spans="1:13" ht="19.5" customHeight="1">
      <c r="A17" s="11" t="s">
        <v>400</v>
      </c>
      <c r="B17" s="11"/>
      <c r="C17" s="11"/>
      <c r="E17" s="56" t="s">
        <v>285</v>
      </c>
      <c r="F17" s="56"/>
      <c r="G17" s="56"/>
      <c r="H17" s="348" t="s">
        <v>1223</v>
      </c>
      <c r="I17" s="56">
        <f>COUNTIF(B5:B15,"male")</f>
        <v>5</v>
      </c>
      <c r="J17">
        <f>COUNTIF(B5:B15,"female")</f>
        <v>6</v>
      </c>
    </row>
    <row r="18" spans="1:13" ht="19.5" customHeight="1">
      <c r="A18" s="11" t="s">
        <v>401</v>
      </c>
      <c r="B18" s="11"/>
      <c r="C18" s="11"/>
      <c r="E18" s="56" t="s">
        <v>402</v>
      </c>
      <c r="F18" s="56"/>
      <c r="G18" s="56"/>
      <c r="H18" s="349" t="s">
        <v>1224</v>
      </c>
      <c r="I18" s="56">
        <f>COUNTIFS(B5:B15,"male",C5:C15,"united states")</f>
        <v>4</v>
      </c>
    </row>
    <row r="19" spans="1:13" ht="19.5" customHeight="1">
      <c r="A19" s="11" t="s">
        <v>403</v>
      </c>
      <c r="B19" s="11"/>
      <c r="C19" s="11"/>
      <c r="E19" s="56" t="s">
        <v>94</v>
      </c>
      <c r="F19" s="56"/>
      <c r="G19" s="349" t="s">
        <v>1225</v>
      </c>
      <c r="H19" s="26" t="s">
        <v>395</v>
      </c>
      <c r="I19" s="56" t="str">
        <f>VLOOKUP(H19,A5:D15,3,FALSE)</f>
        <v>Canada</v>
      </c>
      <c r="J19" s="26" t="s">
        <v>218</v>
      </c>
      <c r="K19" t="str">
        <f>VLOOKUP(J19,A5:D15,3,FALSE)</f>
        <v>Canada</v>
      </c>
    </row>
    <row r="20" spans="1:13" ht="19.5" customHeight="1">
      <c r="A20" s="11" t="s">
        <v>404</v>
      </c>
      <c r="B20" s="11"/>
      <c r="C20" s="11"/>
      <c r="E20" s="56" t="s">
        <v>405</v>
      </c>
      <c r="F20" s="56"/>
      <c r="G20" s="56"/>
      <c r="H20" s="56"/>
      <c r="I20" s="56"/>
      <c r="J20" s="5"/>
      <c r="L20" s="283" t="s">
        <v>1226</v>
      </c>
      <c r="M20">
        <f>SUMIFS(D5:D15,B5:B15,"MALE",C5:C15,"UNITED STATES")</f>
        <v>280</v>
      </c>
    </row>
    <row r="21" spans="1:13" ht="19.5" customHeight="1">
      <c r="A21" s="11" t="s">
        <v>406</v>
      </c>
      <c r="B21" s="11"/>
      <c r="C21" s="11"/>
      <c r="E21" s="56"/>
      <c r="F21" s="56"/>
      <c r="G21" s="56" t="s">
        <v>407</v>
      </c>
      <c r="H21" s="56"/>
      <c r="I21" s="56"/>
      <c r="J21" s="5"/>
      <c r="M21">
        <f>SUMIFS(D5:D15,B5:B15,"FEMALE",C5:C15,"UNITED STATES")</f>
        <v>96</v>
      </c>
    </row>
    <row r="22" spans="1:13" ht="15.75" customHeight="1"/>
    <row r="23" spans="1:13" ht="15.75" customHeight="1">
      <c r="E23" s="283" t="s">
        <v>1227</v>
      </c>
      <c r="F23">
        <f>SUMIFS(D5:D15,B5:B15,"MALE",C5:C15,"UNITED STATES")</f>
        <v>280</v>
      </c>
    </row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000"/>
  <sheetViews>
    <sheetView workbookViewId="0">
      <selection activeCell="C12" sqref="C12"/>
    </sheetView>
  </sheetViews>
  <sheetFormatPr defaultColWidth="14.44140625" defaultRowHeight="15" customHeight="1"/>
  <cols>
    <col min="1" max="1" width="11.44140625" customWidth="1"/>
    <col min="2" max="2" width="11.33203125" customWidth="1"/>
    <col min="3" max="3" width="11.88671875" customWidth="1"/>
    <col min="4" max="6" width="8" customWidth="1"/>
    <col min="7" max="7" width="10.109375" customWidth="1"/>
    <col min="8" max="11" width="8" customWidth="1"/>
    <col min="12" max="12" width="9.5546875" customWidth="1"/>
    <col min="13" max="26" width="8" customWidth="1"/>
  </cols>
  <sheetData>
    <row r="1" spans="1:12" ht="18.75" customHeight="1">
      <c r="A1" s="300" t="s">
        <v>408</v>
      </c>
      <c r="B1" s="301"/>
      <c r="C1" s="301"/>
      <c r="D1" s="301"/>
      <c r="E1" s="301"/>
      <c r="F1" s="301"/>
      <c r="G1" s="301"/>
    </row>
    <row r="2" spans="1:12" ht="14.4">
      <c r="A2" s="304" t="s">
        <v>409</v>
      </c>
      <c r="B2" s="305"/>
      <c r="C2" s="305"/>
      <c r="D2" s="305"/>
      <c r="E2" s="305"/>
      <c r="F2" s="305"/>
      <c r="G2" s="305"/>
    </row>
    <row r="4" spans="1:12" ht="14.4">
      <c r="E4" s="114" t="s">
        <v>410</v>
      </c>
      <c r="F4" s="114" t="s">
        <v>412</v>
      </c>
      <c r="G4" s="114" t="s">
        <v>413</v>
      </c>
      <c r="J4" s="111" t="s">
        <v>410</v>
      </c>
      <c r="K4" s="112" t="s">
        <v>411</v>
      </c>
      <c r="L4" s="113" t="s">
        <v>63</v>
      </c>
    </row>
    <row r="5" spans="1:12" ht="14.4">
      <c r="C5" s="28"/>
      <c r="E5" s="26">
        <v>104</v>
      </c>
      <c r="F5" s="28" t="str">
        <f>VLOOKUP(C6,J5:L8,2,FALSE)</f>
        <v>HP</v>
      </c>
      <c r="G5" s="6" t="str">
        <f>VLOOKUP(C6,J5:L8,3,FALSE)</f>
        <v>Printer</v>
      </c>
      <c r="J5" s="25">
        <v>101</v>
      </c>
      <c r="K5" s="26" t="s">
        <v>414</v>
      </c>
      <c r="L5" s="34" t="s">
        <v>68</v>
      </c>
    </row>
    <row r="6" spans="1:12" ht="14.4">
      <c r="A6" s="28"/>
      <c r="C6" s="28">
        <v>104</v>
      </c>
      <c r="E6" s="26">
        <v>103</v>
      </c>
      <c r="F6" s="28" t="str">
        <f>VLOOKUP(C7,J5:L8,2,FALSE)</f>
        <v>Logitech</v>
      </c>
      <c r="G6" s="6" t="str">
        <f>VLOOKUP(C7,J5:L8,3,FALSE)</f>
        <v>Mouse</v>
      </c>
      <c r="J6" s="25">
        <v>102</v>
      </c>
      <c r="K6" s="26" t="s">
        <v>415</v>
      </c>
      <c r="L6" s="34" t="s">
        <v>416</v>
      </c>
    </row>
    <row r="7" spans="1:12" ht="14.4">
      <c r="C7" s="25">
        <v>103</v>
      </c>
      <c r="E7" s="26">
        <v>104</v>
      </c>
      <c r="F7" s="28" t="str">
        <f>VLOOKUP(C6,J5:L8,2,FALSE)</f>
        <v>HP</v>
      </c>
      <c r="G7" s="6" t="str">
        <f>VLOOKUP(C6,J5:L8,3,FALSE)</f>
        <v>Printer</v>
      </c>
      <c r="J7" s="25">
        <v>103</v>
      </c>
      <c r="K7" s="26" t="s">
        <v>415</v>
      </c>
      <c r="L7" s="34" t="s">
        <v>417</v>
      </c>
    </row>
    <row r="8" spans="1:12" ht="14.4">
      <c r="C8" s="25">
        <v>101</v>
      </c>
      <c r="E8" s="26">
        <v>101</v>
      </c>
      <c r="F8" s="28" t="str">
        <f>VLOOKUP(C8,J5:L8,2,FALSE)</f>
        <v>Dell</v>
      </c>
      <c r="G8" s="6" t="str">
        <f>VLOOKUP(C8,J5:L8,3,FALSE)</f>
        <v>Computer</v>
      </c>
      <c r="J8" s="28">
        <v>104</v>
      </c>
      <c r="K8" s="29" t="s">
        <v>418</v>
      </c>
      <c r="L8" s="109" t="s">
        <v>419</v>
      </c>
    </row>
    <row r="9" spans="1:12" ht="14.4">
      <c r="C9" s="25">
        <v>102</v>
      </c>
      <c r="E9" s="26">
        <v>102</v>
      </c>
      <c r="F9" s="28" t="str">
        <f>VLOOKUP(C9,J5:L8,2,FALSE)</f>
        <v>Logitech</v>
      </c>
      <c r="G9" s="6" t="str">
        <f>VLOOKUP(C9,J5:L8,3,FALSE)</f>
        <v>Keyboard</v>
      </c>
    </row>
    <row r="10" spans="1:12" ht="14.4">
      <c r="E10" s="26">
        <v>103</v>
      </c>
      <c r="F10" s="28" t="str">
        <f>VLOOKUP(C7,J5:L8,2,FALSE)</f>
        <v>Logitech</v>
      </c>
      <c r="G10" s="6" t="str">
        <f>VLOOKUP(C7,J5:L8,3,FALSE)</f>
        <v>Mouse</v>
      </c>
      <c r="J10" s="11" t="s">
        <v>420</v>
      </c>
    </row>
    <row r="11" spans="1:12" ht="14.4">
      <c r="E11" s="26">
        <v>101</v>
      </c>
      <c r="F11" s="28" t="str">
        <f>VLOOKUP(C8,J5:L8,2,FALSE)</f>
        <v>Dell</v>
      </c>
      <c r="G11" s="6" t="str">
        <f>VLOOKUP(C8,J5:L8,3,FALSE)</f>
        <v>Computer</v>
      </c>
    </row>
    <row r="12" spans="1:12" ht="14.4">
      <c r="C12" s="5"/>
      <c r="E12" s="26">
        <v>104</v>
      </c>
      <c r="F12" s="28" t="str">
        <f>VLOOKUP(C6,J5:L8,2,FALSE)</f>
        <v>HP</v>
      </c>
      <c r="G12" s="6" t="str">
        <f>VLOOKUP(C6,J5:L8,3,FALSE)</f>
        <v>Printer</v>
      </c>
    </row>
    <row r="13" spans="1:12" ht="14.4">
      <c r="E13" s="26">
        <v>101</v>
      </c>
      <c r="F13" s="28" t="str">
        <f>VLOOKUP(C8,J5:L8,2,FALSE)</f>
        <v>Dell</v>
      </c>
      <c r="G13" s="6" t="str">
        <f>VLOOKUP(C8,J5:L8,3,FALSE)</f>
        <v>Computer</v>
      </c>
    </row>
    <row r="14" spans="1:12" ht="14.4">
      <c r="E14" s="26">
        <v>102</v>
      </c>
      <c r="F14" s="28" t="str">
        <f>VLOOKUP(C9,J5:L8,2,FALSE)</f>
        <v>Logitech</v>
      </c>
      <c r="G14" s="6" t="str">
        <f>VLOOKUP(C9,J5:L8,3,FALSE)</f>
        <v>Keyboard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00"/>
  <sheetViews>
    <sheetView workbookViewId="0">
      <selection activeCell="G20" sqref="G20"/>
    </sheetView>
  </sheetViews>
  <sheetFormatPr defaultColWidth="14.44140625" defaultRowHeight="15" customHeight="1"/>
  <cols>
    <col min="1" max="1" width="8" customWidth="1"/>
    <col min="2" max="2" width="10.88671875" customWidth="1"/>
    <col min="3" max="3" width="11.33203125" customWidth="1"/>
    <col min="4" max="4" width="10.109375" customWidth="1"/>
    <col min="5" max="5" width="11" customWidth="1"/>
    <col min="6" max="7" width="8" customWidth="1"/>
    <col min="8" max="8" width="32.88671875" customWidth="1"/>
    <col min="9" max="26" width="8" customWidth="1"/>
  </cols>
  <sheetData>
    <row r="1" spans="1:7" ht="18.75" customHeight="1">
      <c r="A1" s="300"/>
      <c r="B1" s="301"/>
      <c r="C1" s="301"/>
      <c r="D1" s="301"/>
      <c r="E1" s="301"/>
      <c r="F1" s="301"/>
      <c r="G1" s="301"/>
    </row>
    <row r="2" spans="1:7" ht="14.4">
      <c r="A2" s="304" t="s">
        <v>421</v>
      </c>
      <c r="B2" s="305"/>
      <c r="C2" s="305"/>
      <c r="D2" s="305"/>
      <c r="E2" s="305"/>
      <c r="F2" s="305"/>
      <c r="G2" s="305"/>
    </row>
    <row r="5" spans="1:7" ht="14.4">
      <c r="A5" s="115" t="s">
        <v>410</v>
      </c>
      <c r="B5" s="116">
        <v>101</v>
      </c>
      <c r="C5" s="116">
        <v>102</v>
      </c>
      <c r="D5" s="116">
        <v>103</v>
      </c>
      <c r="E5" s="116">
        <v>104</v>
      </c>
    </row>
    <row r="6" spans="1:7" ht="14.4">
      <c r="A6" s="3" t="s">
        <v>411</v>
      </c>
      <c r="B6" s="6" t="s">
        <v>414</v>
      </c>
      <c r="C6" s="6" t="s">
        <v>415</v>
      </c>
      <c r="D6" s="6" t="s">
        <v>415</v>
      </c>
      <c r="E6" s="6" t="s">
        <v>418</v>
      </c>
    </row>
    <row r="7" spans="1:7" ht="14.4">
      <c r="A7" s="3" t="s">
        <v>63</v>
      </c>
      <c r="B7" s="6" t="s">
        <v>68</v>
      </c>
      <c r="C7" s="6" t="s">
        <v>416</v>
      </c>
      <c r="D7" s="6" t="s">
        <v>417</v>
      </c>
      <c r="E7" s="6" t="s">
        <v>419</v>
      </c>
    </row>
    <row r="9" spans="1:7" ht="14.4">
      <c r="A9" s="117" t="s">
        <v>410</v>
      </c>
      <c r="B9" s="117" t="s">
        <v>63</v>
      </c>
      <c r="C9" s="118" t="str">
        <f>A6</f>
        <v>Brand</v>
      </c>
    </row>
    <row r="10" spans="1:7" ht="14.4">
      <c r="A10" s="26">
        <v>104</v>
      </c>
      <c r="B10" s="26" t="str">
        <f>HLOOKUP(A10,$A$5:$E$7,3,0)</f>
        <v>Printer</v>
      </c>
      <c r="C10" s="6" t="s">
        <v>414</v>
      </c>
      <c r="D10" s="6"/>
      <c r="E10" s="6"/>
      <c r="F10" s="6"/>
    </row>
    <row r="11" spans="1:7" ht="14.4">
      <c r="A11" s="26">
        <v>103</v>
      </c>
      <c r="B11" s="26" t="str">
        <f>HLOOKUP(A11,A5:E7,3,FALSE)</f>
        <v>Mouse</v>
      </c>
      <c r="C11" s="351" t="str">
        <f>HLOOKUP(A11,A5:E7,3,FALSE)</f>
        <v>Mouse</v>
      </c>
      <c r="E11" s="116">
        <v>103</v>
      </c>
    </row>
    <row r="12" spans="1:7" ht="14.4">
      <c r="A12" s="26">
        <v>104</v>
      </c>
      <c r="B12" s="26" t="str">
        <f>HLOOKUP(A10,$A$5:$E$7,3,0)</f>
        <v>Printer</v>
      </c>
      <c r="C12" s="351" t="str">
        <f>HLOOKUP(A12,A5:E7,2,FALSE)</f>
        <v>HP</v>
      </c>
    </row>
    <row r="13" spans="1:7" ht="14.4">
      <c r="A13" s="26">
        <v>101</v>
      </c>
      <c r="B13" s="26" t="str">
        <f>HLOOKUP(A13,A5:E8,3,FALSE)</f>
        <v>Computer</v>
      </c>
      <c r="C13" s="351" t="str">
        <f>HLOOKUP(A13,A5:E7,2,FALSE)</f>
        <v>Dell</v>
      </c>
      <c r="E13" s="116"/>
    </row>
    <row r="14" spans="1:7" ht="14.4">
      <c r="A14" s="26">
        <v>102</v>
      </c>
      <c r="B14" s="26" t="str">
        <f>HLOOKUP(A14,A5:E7,3,FALSE)</f>
        <v>Keyboard</v>
      </c>
      <c r="C14" s="351" t="str">
        <f>HLOOKUP(A14,A5:E7,2,FALSE)</f>
        <v>Logitech</v>
      </c>
    </row>
    <row r="15" spans="1:7" ht="14.4">
      <c r="A15" s="26">
        <v>103</v>
      </c>
      <c r="B15" s="26" t="str">
        <f>HLOOKUP(A11,A5:E7,3,FALSE)</f>
        <v>Mouse</v>
      </c>
      <c r="C15" s="351" t="str">
        <f>HLOOKUP(A15,A5:E7,2,FALSE)</f>
        <v>Logitech</v>
      </c>
    </row>
    <row r="16" spans="1:7" ht="14.4">
      <c r="A16" s="26">
        <v>101</v>
      </c>
      <c r="B16" s="26" t="str">
        <f>HLOOKUP(A16,A5:E7,3,FALSE)</f>
        <v>Computer</v>
      </c>
      <c r="C16" s="351" t="str">
        <f>HLOOKUP(A16,A5:E7,2,FALSE)</f>
        <v>Dell</v>
      </c>
    </row>
    <row r="17" spans="1:3" ht="14.4">
      <c r="A17" s="26">
        <v>104</v>
      </c>
      <c r="B17" s="26" t="str">
        <f>HLOOKUP(A10,$A$5:$E$7,3,0)</f>
        <v>Printer</v>
      </c>
      <c r="C17" s="351" t="str">
        <f>HLOOKUP(A17,A5:E7,2,FALSE)</f>
        <v>HP</v>
      </c>
    </row>
    <row r="18" spans="1:3" ht="14.4">
      <c r="A18" s="26">
        <v>101</v>
      </c>
      <c r="B18" s="26" t="str">
        <f>HLOOKUP(A18,A5:E7,3,FALSE)</f>
        <v>Computer</v>
      </c>
      <c r="C18" s="351" t="str">
        <f>HLOOKUP(A18,A5:E7,2,FALSE)</f>
        <v>Dell</v>
      </c>
    </row>
    <row r="19" spans="1:3" ht="14.4">
      <c r="A19" s="26">
        <v>102</v>
      </c>
      <c r="B19" s="26" t="str">
        <f>HLOOKUP(A19,A5:E8,3,FALSE)</f>
        <v>Keyboard</v>
      </c>
      <c r="C19" s="351" t="str">
        <f>HLOOKUP(A19,A5:E7,2,FALSE)</f>
        <v>Logitech</v>
      </c>
    </row>
    <row r="21" spans="1:3" ht="15.75" customHeight="1"/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00"/>
  <sheetViews>
    <sheetView tabSelected="1" workbookViewId="0">
      <selection sqref="A1:G1"/>
    </sheetView>
  </sheetViews>
  <sheetFormatPr defaultColWidth="14.44140625" defaultRowHeight="15" customHeight="1"/>
  <cols>
    <col min="1" max="26" width="8" customWidth="1"/>
  </cols>
  <sheetData>
    <row r="1" spans="1:7" ht="18.75" customHeight="1">
      <c r="A1" s="300" t="s">
        <v>422</v>
      </c>
      <c r="B1" s="301"/>
      <c r="C1" s="301"/>
      <c r="D1" s="301"/>
      <c r="E1" s="301"/>
      <c r="F1" s="301"/>
      <c r="G1" s="301"/>
    </row>
    <row r="2" spans="1:7" ht="14.4">
      <c r="A2" s="304" t="s">
        <v>423</v>
      </c>
      <c r="B2" s="305"/>
      <c r="C2" s="305"/>
      <c r="D2" s="305"/>
      <c r="E2" s="305"/>
      <c r="F2" s="305"/>
      <c r="G2" s="305"/>
    </row>
    <row r="4" spans="1:7" ht="14.4">
      <c r="A4" s="119" t="s">
        <v>424</v>
      </c>
      <c r="B4" s="120" t="s">
        <v>425</v>
      </c>
      <c r="C4" s="120" t="s">
        <v>426</v>
      </c>
      <c r="D4" s="120" t="s">
        <v>314</v>
      </c>
    </row>
    <row r="5" spans="1:7" ht="14.4">
      <c r="A5" s="121" t="s">
        <v>427</v>
      </c>
      <c r="B5" s="122">
        <v>5535</v>
      </c>
      <c r="C5" s="122">
        <v>5414</v>
      </c>
      <c r="D5" s="122">
        <v>9027</v>
      </c>
    </row>
    <row r="6" spans="1:7" ht="14.4">
      <c r="A6" s="121" t="s">
        <v>428</v>
      </c>
      <c r="B6" s="122">
        <v>5013</v>
      </c>
      <c r="C6" s="122">
        <v>5107</v>
      </c>
      <c r="D6" s="122">
        <v>11667</v>
      </c>
    </row>
    <row r="7" spans="1:7" ht="14.4">
      <c r="A7" s="121" t="s">
        <v>429</v>
      </c>
      <c r="B7" s="122">
        <v>6597</v>
      </c>
      <c r="C7" s="122">
        <v>3858</v>
      </c>
      <c r="D7" s="122">
        <v>1507</v>
      </c>
    </row>
    <row r="8" spans="1:7" ht="14.4">
      <c r="A8" s="121" t="s">
        <v>430</v>
      </c>
      <c r="B8" s="122">
        <v>3195</v>
      </c>
      <c r="C8" s="122">
        <v>3654</v>
      </c>
      <c r="D8" s="122">
        <v>7225</v>
      </c>
    </row>
    <row r="10" spans="1:7" ht="14.4">
      <c r="A10" s="123" t="s">
        <v>429</v>
      </c>
      <c r="B10" s="120" t="s">
        <v>314</v>
      </c>
      <c r="C10" s="123">
        <f t="array" ref="C10">INDEX(A4:D8,MATCH(A10,A4:A8,0),MATCH(B10,A4:D4,0))</f>
        <v>1507</v>
      </c>
    </row>
    <row r="11" spans="1:7" ht="14.4">
      <c r="A11" s="26" t="str">
        <f>A8</f>
        <v>West</v>
      </c>
      <c r="B11" s="6" t="s">
        <v>426</v>
      </c>
      <c r="C11" s="124">
        <f t="shared" ref="C11:C13" si="0">INDEX($A$4:$D$8,MATCH(A11,$A$4:$A$8,0),MATCH(B11,$A$4:$D$4,0))</f>
        <v>3654</v>
      </c>
      <c r="D11" s="6"/>
    </row>
    <row r="12" spans="1:7" ht="14.4">
      <c r="A12" s="26" t="str">
        <f>A6</f>
        <v>South</v>
      </c>
      <c r="B12" s="6" t="s">
        <v>425</v>
      </c>
      <c r="C12" s="124">
        <f t="shared" si="0"/>
        <v>5013</v>
      </c>
      <c r="D12" s="6"/>
    </row>
    <row r="13" spans="1:7" ht="14.4">
      <c r="A13" s="26" t="str">
        <f>A5</f>
        <v>North</v>
      </c>
      <c r="B13" s="6" t="s">
        <v>314</v>
      </c>
      <c r="C13" s="124">
        <f t="shared" si="0"/>
        <v>9027</v>
      </c>
      <c r="D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FF00"/>
  </sheetPr>
  <dimension ref="A1:Z1000"/>
  <sheetViews>
    <sheetView workbookViewId="0">
      <selection sqref="A1:K1"/>
    </sheetView>
  </sheetViews>
  <sheetFormatPr defaultColWidth="14.44140625" defaultRowHeight="15" customHeight="1"/>
  <cols>
    <col min="1" max="1" width="8.33203125" customWidth="1"/>
    <col min="2" max="2" width="11.109375" customWidth="1"/>
    <col min="3" max="5" width="8" customWidth="1"/>
    <col min="6" max="6" width="12.44140625" customWidth="1"/>
    <col min="7" max="7" width="18.44140625" customWidth="1"/>
    <col min="8" max="8" width="10" customWidth="1"/>
    <col min="9" max="9" width="10.88671875" customWidth="1"/>
    <col min="10" max="10" width="8" customWidth="1"/>
    <col min="11" max="11" width="13.6640625" customWidth="1"/>
    <col min="12" max="15" width="8" customWidth="1"/>
    <col min="16" max="16" width="11.6640625" customWidth="1"/>
    <col min="17" max="17" width="17.109375" customWidth="1"/>
    <col min="18" max="26" width="8" customWidth="1"/>
  </cols>
  <sheetData>
    <row r="1" spans="1:26" ht="18.75" customHeight="1">
      <c r="A1" s="300" t="s">
        <v>431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</row>
    <row r="2" spans="1:26" ht="14.4">
      <c r="A2" s="303" t="s">
        <v>432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</row>
    <row r="4" spans="1:26" ht="45" customHeight="1">
      <c r="A4" s="125" t="s">
        <v>433</v>
      </c>
      <c r="B4" s="125" t="s">
        <v>434</v>
      </c>
      <c r="C4" s="125" t="s">
        <v>435</v>
      </c>
      <c r="D4" s="125" t="s">
        <v>436</v>
      </c>
      <c r="E4" s="125" t="s">
        <v>437</v>
      </c>
      <c r="F4" s="125" t="s">
        <v>438</v>
      </c>
      <c r="G4" s="125" t="s">
        <v>439</v>
      </c>
      <c r="H4" s="125" t="s">
        <v>440</v>
      </c>
      <c r="I4" s="125" t="s">
        <v>441</v>
      </c>
      <c r="J4" s="125" t="s">
        <v>442</v>
      </c>
      <c r="K4" s="126" t="s">
        <v>443</v>
      </c>
      <c r="N4" s="5">
        <f ca="1">IFERROR(__xludf.DUMMYFUNCTION("FILTER(A9:K29,(H9:H29=H5)*(E9:E29=E5))"),1)</f>
        <v>1</v>
      </c>
      <c r="O4" s="127">
        <f ca="1">IFERROR(__xludf.DUMMYFUNCTION("""COMPUTED_VALUE"""),43039)</f>
        <v>43039</v>
      </c>
      <c r="P4" s="5" t="str">
        <f ca="1">IFERROR(__xludf.DUMMYFUNCTION("""COMPUTED_VALUE"""),"Abhay Gaurav")</f>
        <v>Abhay Gaurav</v>
      </c>
      <c r="Q4" s="5" t="str">
        <f ca="1">IFERROR(__xludf.DUMMYFUNCTION("""COMPUTED_VALUE"""),"Aakash Harit")</f>
        <v>Aakash Harit</v>
      </c>
      <c r="R4" s="5" t="str">
        <f ca="1">IFERROR(__xludf.DUMMYFUNCTION("""COMPUTED_VALUE"""),"Chloe Jones")</f>
        <v>Chloe Jones</v>
      </c>
      <c r="S4" s="5" t="str">
        <f ca="1">IFERROR(__xludf.DUMMYFUNCTION("""COMPUTED_VALUE"""),"919-555-8658")</f>
        <v>919-555-8658</v>
      </c>
      <c r="T4" s="5" t="str">
        <f ca="1">IFERROR(__xludf.DUMMYFUNCTION("""COMPUTED_VALUE"""),"lo@email.com")</f>
        <v>lo@email.com</v>
      </c>
      <c r="U4" s="5" t="str">
        <f ca="1">IFERROR(__xludf.DUMMYFUNCTION("""COMPUTED_VALUE"""),"Apple")</f>
        <v>Apple</v>
      </c>
      <c r="V4" s="128">
        <f ca="1">IFERROR(__xludf.DUMMYFUNCTION("""COMPUTED_VALUE"""),14)</f>
        <v>14</v>
      </c>
      <c r="W4" s="129">
        <f ca="1">IFERROR(__xludf.DUMMYFUNCTION("""COMPUTED_VALUE"""),76)</f>
        <v>76</v>
      </c>
      <c r="X4" s="130">
        <f ca="1">IFERROR(__xludf.DUMMYFUNCTION("""COMPUTED_VALUE"""),1064)</f>
        <v>1064</v>
      </c>
    </row>
    <row r="5" spans="1:26" ht="30" customHeight="1">
      <c r="A5" s="131"/>
      <c r="B5" s="26"/>
      <c r="C5" s="132"/>
      <c r="D5" s="132"/>
      <c r="E5" s="132" t="s">
        <v>444</v>
      </c>
      <c r="F5" s="26"/>
      <c r="G5" s="26"/>
      <c r="H5" s="131" t="s">
        <v>375</v>
      </c>
      <c r="I5" s="26"/>
      <c r="J5" s="6"/>
      <c r="K5" s="131"/>
      <c r="N5" s="5">
        <f ca="1">IFERROR(__xludf.DUMMYFUNCTION("""COMPUTED_VALUE"""),9)</f>
        <v>9</v>
      </c>
      <c r="O5" s="127">
        <f ca="1">IFERROR(__xludf.DUMMYFUNCTION("""COMPUTED_VALUE"""),43049)</f>
        <v>43049</v>
      </c>
      <c r="P5" s="5" t="str">
        <f ca="1">IFERROR(__xludf.DUMMYFUNCTION("""COMPUTED_VALUE"""),"Nishu Kumari")</f>
        <v>Nishu Kumari</v>
      </c>
      <c r="Q5" s="5" t="str">
        <f ca="1">IFERROR(__xludf.DUMMYFUNCTION("""COMPUTED_VALUE"""),"Aakash Harit")</f>
        <v>Aakash Harit</v>
      </c>
      <c r="R5" s="5" t="str">
        <f ca="1">IFERROR(__xludf.DUMMYFUNCTION("""COMPUTED_VALUE"""),"Chloe Jones")</f>
        <v>Chloe Jones</v>
      </c>
      <c r="S5" s="5" t="str">
        <f ca="1">IFERROR(__xludf.DUMMYFUNCTION("""COMPUTED_VALUE"""),"919-555-8658")</f>
        <v>919-555-8658</v>
      </c>
      <c r="T5" s="5" t="str">
        <f ca="1">IFERROR(__xludf.DUMMYFUNCTION("""COMPUTED_VALUE"""),"lo@email.com")</f>
        <v>lo@email.com</v>
      </c>
      <c r="U5" s="5" t="str">
        <f ca="1">IFERROR(__xludf.DUMMYFUNCTION("""COMPUTED_VALUE"""),"Apple")</f>
        <v>Apple</v>
      </c>
      <c r="V5" s="128">
        <f ca="1">IFERROR(__xludf.DUMMYFUNCTION("""COMPUTED_VALUE"""),14)</f>
        <v>14</v>
      </c>
      <c r="W5" s="129">
        <f ca="1">IFERROR(__xludf.DUMMYFUNCTION("""COMPUTED_VALUE"""),15)</f>
        <v>15</v>
      </c>
      <c r="X5" s="130">
        <f ca="1">IFERROR(__xludf.DUMMYFUNCTION("""COMPUTED_VALUE"""),210)</f>
        <v>210</v>
      </c>
    </row>
    <row r="6" spans="1:26" ht="14.4">
      <c r="A6" s="131"/>
      <c r="B6" s="26"/>
      <c r="C6" s="132"/>
      <c r="D6" s="26"/>
      <c r="E6" s="26"/>
      <c r="F6" s="26"/>
      <c r="G6" s="26"/>
      <c r="H6" s="131"/>
      <c r="I6" s="26"/>
      <c r="J6" s="26"/>
      <c r="K6" s="131"/>
    </row>
    <row r="7" spans="1:26" ht="14.4">
      <c r="A7" s="133"/>
    </row>
    <row r="8" spans="1:26" ht="14.4">
      <c r="A8" s="133"/>
    </row>
    <row r="9" spans="1:26" ht="45" customHeight="1">
      <c r="A9" s="134" t="s">
        <v>433</v>
      </c>
      <c r="B9" s="135" t="s">
        <v>434</v>
      </c>
      <c r="C9" s="135" t="s">
        <v>435</v>
      </c>
      <c r="D9" s="135" t="s">
        <v>436</v>
      </c>
      <c r="E9" s="135" t="s">
        <v>437</v>
      </c>
      <c r="F9" s="135" t="s">
        <v>438</v>
      </c>
      <c r="G9" s="135" t="s">
        <v>439</v>
      </c>
      <c r="H9" s="135" t="s">
        <v>440</v>
      </c>
      <c r="I9" s="135" t="s">
        <v>441</v>
      </c>
      <c r="J9" s="135" t="s">
        <v>442</v>
      </c>
      <c r="K9" s="136" t="s">
        <v>443</v>
      </c>
      <c r="P9" s="5">
        <f ca="1">IFERROR(__xludf.DUMMYFUNCTION("FILTER(A9:K29,(H9:H29=""Apple"")*(E9:E29=E5))"),1)</f>
        <v>1</v>
      </c>
      <c r="Q9" s="127">
        <f ca="1">IFERROR(__xludf.DUMMYFUNCTION("""COMPUTED_VALUE"""),43039)</f>
        <v>43039</v>
      </c>
      <c r="R9" s="5" t="str">
        <f ca="1">IFERROR(__xludf.DUMMYFUNCTION("""COMPUTED_VALUE"""),"Abhay Gaurav")</f>
        <v>Abhay Gaurav</v>
      </c>
      <c r="S9" s="5" t="str">
        <f ca="1">IFERROR(__xludf.DUMMYFUNCTION("""COMPUTED_VALUE"""),"Aakash Harit")</f>
        <v>Aakash Harit</v>
      </c>
      <c r="T9" s="5" t="str">
        <f ca="1">IFERROR(__xludf.DUMMYFUNCTION("""COMPUTED_VALUE"""),"Chloe Jones")</f>
        <v>Chloe Jones</v>
      </c>
      <c r="U9" s="5" t="str">
        <f ca="1">IFERROR(__xludf.DUMMYFUNCTION("""COMPUTED_VALUE"""),"919-555-8658")</f>
        <v>919-555-8658</v>
      </c>
      <c r="V9" s="5" t="str">
        <f ca="1">IFERROR(__xludf.DUMMYFUNCTION("""COMPUTED_VALUE"""),"lo@email.com")</f>
        <v>lo@email.com</v>
      </c>
      <c r="W9" s="5" t="str">
        <f ca="1">IFERROR(__xludf.DUMMYFUNCTION("""COMPUTED_VALUE"""),"Apple")</f>
        <v>Apple</v>
      </c>
      <c r="X9" s="128">
        <f ca="1">IFERROR(__xludf.DUMMYFUNCTION("""COMPUTED_VALUE"""),14)</f>
        <v>14</v>
      </c>
      <c r="Y9" s="129">
        <f ca="1">IFERROR(__xludf.DUMMYFUNCTION("""COMPUTED_VALUE"""),76)</f>
        <v>76</v>
      </c>
      <c r="Z9" s="130">
        <f ca="1">IFERROR(__xludf.DUMMYFUNCTION("""COMPUTED_VALUE"""),1064)</f>
        <v>1064</v>
      </c>
    </row>
    <row r="10" spans="1:26" ht="30" customHeight="1">
      <c r="A10" s="131">
        <v>1</v>
      </c>
      <c r="B10" s="53">
        <v>43039</v>
      </c>
      <c r="C10" s="132" t="s">
        <v>445</v>
      </c>
      <c r="D10" s="132" t="s">
        <v>446</v>
      </c>
      <c r="E10" s="132" t="s">
        <v>444</v>
      </c>
      <c r="F10" s="26" t="s">
        <v>447</v>
      </c>
      <c r="G10" s="26" t="s">
        <v>448</v>
      </c>
      <c r="H10" s="26" t="s">
        <v>375</v>
      </c>
      <c r="I10" s="137">
        <v>14</v>
      </c>
      <c r="J10" s="138">
        <v>76</v>
      </c>
      <c r="K10" s="139">
        <v>1064</v>
      </c>
      <c r="P10" s="5">
        <f ca="1">IFERROR(__xludf.DUMMYFUNCTION("""COMPUTED_VALUE"""),9)</f>
        <v>9</v>
      </c>
      <c r="Q10" s="127">
        <f ca="1">IFERROR(__xludf.DUMMYFUNCTION("""COMPUTED_VALUE"""),43049)</f>
        <v>43049</v>
      </c>
      <c r="R10" s="5" t="str">
        <f ca="1">IFERROR(__xludf.DUMMYFUNCTION("""COMPUTED_VALUE"""),"Nishu Kumari")</f>
        <v>Nishu Kumari</v>
      </c>
      <c r="S10" s="5" t="str">
        <f ca="1">IFERROR(__xludf.DUMMYFUNCTION("""COMPUTED_VALUE"""),"Aakash Harit")</f>
        <v>Aakash Harit</v>
      </c>
      <c r="T10" s="5" t="str">
        <f ca="1">IFERROR(__xludf.DUMMYFUNCTION("""COMPUTED_VALUE"""),"Chloe Jones")</f>
        <v>Chloe Jones</v>
      </c>
      <c r="U10" s="5" t="str">
        <f ca="1">IFERROR(__xludf.DUMMYFUNCTION("""COMPUTED_VALUE"""),"919-555-8658")</f>
        <v>919-555-8658</v>
      </c>
      <c r="V10" s="5" t="str">
        <f ca="1">IFERROR(__xludf.DUMMYFUNCTION("""COMPUTED_VALUE"""),"lo@email.com")</f>
        <v>lo@email.com</v>
      </c>
      <c r="W10" s="5" t="str">
        <f ca="1">IFERROR(__xludf.DUMMYFUNCTION("""COMPUTED_VALUE"""),"Apple")</f>
        <v>Apple</v>
      </c>
      <c r="X10" s="128">
        <f ca="1">IFERROR(__xludf.DUMMYFUNCTION("""COMPUTED_VALUE"""),14)</f>
        <v>14</v>
      </c>
      <c r="Y10" s="129">
        <f ca="1">IFERROR(__xludf.DUMMYFUNCTION("""COMPUTED_VALUE"""),15)</f>
        <v>15</v>
      </c>
      <c r="Z10" s="130">
        <f ca="1">IFERROR(__xludf.DUMMYFUNCTION("""COMPUTED_VALUE"""),210)</f>
        <v>210</v>
      </c>
    </row>
    <row r="11" spans="1:26" ht="30" customHeight="1">
      <c r="A11" s="131">
        <v>2</v>
      </c>
      <c r="B11" s="53">
        <v>42912</v>
      </c>
      <c r="C11" s="132" t="s">
        <v>449</v>
      </c>
      <c r="D11" s="132" t="s">
        <v>446</v>
      </c>
      <c r="E11" s="132" t="s">
        <v>450</v>
      </c>
      <c r="F11" s="26" t="s">
        <v>451</v>
      </c>
      <c r="G11" s="26" t="s">
        <v>452</v>
      </c>
      <c r="H11" s="26" t="s">
        <v>367</v>
      </c>
      <c r="I11" s="137">
        <v>3</v>
      </c>
      <c r="J11" s="138">
        <v>33</v>
      </c>
      <c r="K11" s="139">
        <v>99</v>
      </c>
    </row>
    <row r="12" spans="1:26" ht="30" customHeight="1">
      <c r="A12" s="131">
        <v>3</v>
      </c>
      <c r="B12" s="53">
        <v>42755</v>
      </c>
      <c r="C12" s="132" t="s">
        <v>445</v>
      </c>
      <c r="D12" s="132" t="s">
        <v>446</v>
      </c>
      <c r="E12" s="132" t="s">
        <v>453</v>
      </c>
      <c r="F12" s="26" t="s">
        <v>454</v>
      </c>
      <c r="G12" s="26" t="s">
        <v>455</v>
      </c>
      <c r="H12" s="26" t="s">
        <v>367</v>
      </c>
      <c r="I12" s="137">
        <v>3</v>
      </c>
      <c r="J12" s="138">
        <v>73</v>
      </c>
      <c r="K12" s="139">
        <v>219</v>
      </c>
    </row>
    <row r="13" spans="1:26" ht="30" customHeight="1">
      <c r="A13" s="131">
        <v>4</v>
      </c>
      <c r="B13" s="53">
        <v>43081</v>
      </c>
      <c r="C13" s="132" t="s">
        <v>456</v>
      </c>
      <c r="D13" s="132" t="s">
        <v>446</v>
      </c>
      <c r="E13" s="132" t="s">
        <v>450</v>
      </c>
      <c r="F13" s="26" t="s">
        <v>451</v>
      </c>
      <c r="G13" s="26" t="s">
        <v>452</v>
      </c>
      <c r="H13" s="26" t="s">
        <v>375</v>
      </c>
      <c r="I13" s="137">
        <v>14</v>
      </c>
      <c r="J13" s="138">
        <v>44</v>
      </c>
      <c r="K13" s="139">
        <v>616</v>
      </c>
      <c r="O13" s="5">
        <f ca="1">IFERROR(__xludf.DUMMYFUNCTION("filter(A9:K29,(E9:E29=E5) *(H9:H29=H5))"),1)</f>
        <v>1</v>
      </c>
      <c r="P13" s="127">
        <f ca="1">IFERROR(__xludf.DUMMYFUNCTION("""COMPUTED_VALUE"""),43039)</f>
        <v>43039</v>
      </c>
      <c r="Q13" s="5" t="str">
        <f ca="1">IFERROR(__xludf.DUMMYFUNCTION("""COMPUTED_VALUE"""),"Abhay Gaurav")</f>
        <v>Abhay Gaurav</v>
      </c>
      <c r="R13" s="5" t="str">
        <f ca="1">IFERROR(__xludf.DUMMYFUNCTION("""COMPUTED_VALUE"""),"Aakash Harit")</f>
        <v>Aakash Harit</v>
      </c>
      <c r="S13" s="5" t="str">
        <f ca="1">IFERROR(__xludf.DUMMYFUNCTION("""COMPUTED_VALUE"""),"Chloe Jones")</f>
        <v>Chloe Jones</v>
      </c>
      <c r="T13" s="5" t="str">
        <f ca="1">IFERROR(__xludf.DUMMYFUNCTION("""COMPUTED_VALUE"""),"919-555-8658")</f>
        <v>919-555-8658</v>
      </c>
      <c r="U13" s="5" t="str">
        <f ca="1">IFERROR(__xludf.DUMMYFUNCTION("""COMPUTED_VALUE"""),"lo@email.com")</f>
        <v>lo@email.com</v>
      </c>
      <c r="V13" s="5" t="str">
        <f ca="1">IFERROR(__xludf.DUMMYFUNCTION("""COMPUTED_VALUE"""),"Apple")</f>
        <v>Apple</v>
      </c>
      <c r="W13" s="128">
        <f ca="1">IFERROR(__xludf.DUMMYFUNCTION("""COMPUTED_VALUE"""),14)</f>
        <v>14</v>
      </c>
      <c r="X13" s="129">
        <f ca="1">IFERROR(__xludf.DUMMYFUNCTION("""COMPUTED_VALUE"""),76)</f>
        <v>76</v>
      </c>
      <c r="Y13" s="130">
        <f ca="1">IFERROR(__xludf.DUMMYFUNCTION("""COMPUTED_VALUE"""),1064)</f>
        <v>1064</v>
      </c>
    </row>
    <row r="14" spans="1:26" ht="30" customHeight="1">
      <c r="A14" s="131">
        <v>5</v>
      </c>
      <c r="B14" s="53">
        <v>42934</v>
      </c>
      <c r="C14" s="132" t="s">
        <v>445</v>
      </c>
      <c r="D14" s="132" t="s">
        <v>446</v>
      </c>
      <c r="E14" s="132" t="s">
        <v>457</v>
      </c>
      <c r="F14" s="26" t="s">
        <v>458</v>
      </c>
      <c r="G14" s="26" t="s">
        <v>459</v>
      </c>
      <c r="H14" s="26" t="s">
        <v>375</v>
      </c>
      <c r="I14" s="137">
        <v>14</v>
      </c>
      <c r="J14" s="138">
        <v>44</v>
      </c>
      <c r="K14" s="139">
        <v>616</v>
      </c>
      <c r="O14" s="5">
        <f ca="1">IFERROR(__xludf.DUMMYFUNCTION("""COMPUTED_VALUE"""),9)</f>
        <v>9</v>
      </c>
      <c r="P14" s="127">
        <f ca="1">IFERROR(__xludf.DUMMYFUNCTION("""COMPUTED_VALUE"""),43049)</f>
        <v>43049</v>
      </c>
      <c r="Q14" s="5" t="str">
        <f ca="1">IFERROR(__xludf.DUMMYFUNCTION("""COMPUTED_VALUE"""),"Nishu Kumari")</f>
        <v>Nishu Kumari</v>
      </c>
      <c r="R14" s="5" t="str">
        <f ca="1">IFERROR(__xludf.DUMMYFUNCTION("""COMPUTED_VALUE"""),"Aakash Harit")</f>
        <v>Aakash Harit</v>
      </c>
      <c r="S14" s="5" t="str">
        <f ca="1">IFERROR(__xludf.DUMMYFUNCTION("""COMPUTED_VALUE"""),"Chloe Jones")</f>
        <v>Chloe Jones</v>
      </c>
      <c r="T14" s="5" t="str">
        <f ca="1">IFERROR(__xludf.DUMMYFUNCTION("""COMPUTED_VALUE"""),"919-555-8658")</f>
        <v>919-555-8658</v>
      </c>
      <c r="U14" s="5" t="str">
        <f ca="1">IFERROR(__xludf.DUMMYFUNCTION("""COMPUTED_VALUE"""),"lo@email.com")</f>
        <v>lo@email.com</v>
      </c>
      <c r="V14" s="5" t="str">
        <f ca="1">IFERROR(__xludf.DUMMYFUNCTION("""COMPUTED_VALUE"""),"Apple")</f>
        <v>Apple</v>
      </c>
      <c r="W14" s="128">
        <f ca="1">IFERROR(__xludf.DUMMYFUNCTION("""COMPUTED_VALUE"""),14)</f>
        <v>14</v>
      </c>
      <c r="X14" s="129">
        <f ca="1">IFERROR(__xludf.DUMMYFUNCTION("""COMPUTED_VALUE"""),15)</f>
        <v>15</v>
      </c>
      <c r="Y14" s="130">
        <f ca="1">IFERROR(__xludf.DUMMYFUNCTION("""COMPUTED_VALUE"""),210)</f>
        <v>210</v>
      </c>
    </row>
    <row r="15" spans="1:26" ht="30" customHeight="1">
      <c r="A15" s="131">
        <v>6</v>
      </c>
      <c r="B15" s="53">
        <v>42808</v>
      </c>
      <c r="C15" s="132" t="s">
        <v>445</v>
      </c>
      <c r="D15" s="132" t="s">
        <v>446</v>
      </c>
      <c r="E15" s="132" t="s">
        <v>460</v>
      </c>
      <c r="F15" s="26" t="s">
        <v>461</v>
      </c>
      <c r="G15" s="26" t="s">
        <v>462</v>
      </c>
      <c r="H15" s="26" t="s">
        <v>367</v>
      </c>
      <c r="I15" s="137">
        <v>3</v>
      </c>
      <c r="J15" s="138">
        <v>12</v>
      </c>
      <c r="K15" s="139">
        <v>36</v>
      </c>
    </row>
    <row r="16" spans="1:26" ht="30" customHeight="1">
      <c r="A16" s="131">
        <v>7</v>
      </c>
      <c r="B16" s="53">
        <v>43060</v>
      </c>
      <c r="C16" s="132" t="s">
        <v>456</v>
      </c>
      <c r="D16" s="132" t="s">
        <v>446</v>
      </c>
      <c r="E16" s="132" t="s">
        <v>457</v>
      </c>
      <c r="F16" s="26" t="s">
        <v>458</v>
      </c>
      <c r="G16" s="26" t="s">
        <v>459</v>
      </c>
      <c r="H16" s="26" t="s">
        <v>463</v>
      </c>
      <c r="I16" s="137">
        <v>33</v>
      </c>
      <c r="J16" s="138">
        <v>98</v>
      </c>
      <c r="K16" s="139">
        <v>3234</v>
      </c>
    </row>
    <row r="17" spans="1:11" ht="30" customHeight="1">
      <c r="A17" s="131">
        <v>8</v>
      </c>
      <c r="B17" s="53">
        <v>42877</v>
      </c>
      <c r="C17" s="132" t="s">
        <v>456</v>
      </c>
      <c r="D17" s="132" t="s">
        <v>446</v>
      </c>
      <c r="E17" s="132" t="s">
        <v>460</v>
      </c>
      <c r="F17" s="26" t="s">
        <v>461</v>
      </c>
      <c r="G17" s="26" t="s">
        <v>462</v>
      </c>
      <c r="H17" s="26" t="s">
        <v>463</v>
      </c>
      <c r="I17" s="137">
        <v>33</v>
      </c>
      <c r="J17" s="138">
        <v>42</v>
      </c>
      <c r="K17" s="139">
        <v>1386</v>
      </c>
    </row>
    <row r="18" spans="1:11" ht="30" customHeight="1">
      <c r="A18" s="131">
        <v>9</v>
      </c>
      <c r="B18" s="53">
        <v>43049</v>
      </c>
      <c r="C18" s="132" t="s">
        <v>456</v>
      </c>
      <c r="D18" s="132" t="s">
        <v>446</v>
      </c>
      <c r="E18" s="132" t="s">
        <v>444</v>
      </c>
      <c r="F18" s="26" t="s">
        <v>447</v>
      </c>
      <c r="G18" s="26" t="s">
        <v>448</v>
      </c>
      <c r="H18" s="26" t="s">
        <v>375</v>
      </c>
      <c r="I18" s="137">
        <v>14</v>
      </c>
      <c r="J18" s="138">
        <v>15</v>
      </c>
      <c r="K18" s="139">
        <v>210</v>
      </c>
    </row>
    <row r="19" spans="1:11" ht="30" customHeight="1">
      <c r="A19" s="131">
        <v>10</v>
      </c>
      <c r="B19" s="53">
        <v>43038</v>
      </c>
      <c r="C19" s="132" t="s">
        <v>445</v>
      </c>
      <c r="D19" s="132" t="s">
        <v>446</v>
      </c>
      <c r="E19" s="132" t="s">
        <v>453</v>
      </c>
      <c r="F19" s="26" t="s">
        <v>454</v>
      </c>
      <c r="G19" s="26" t="s">
        <v>455</v>
      </c>
      <c r="H19" s="26" t="s">
        <v>317</v>
      </c>
      <c r="I19" s="137">
        <v>24</v>
      </c>
      <c r="J19" s="138">
        <v>40</v>
      </c>
      <c r="K19" s="139">
        <v>960</v>
      </c>
    </row>
    <row r="20" spans="1:11" ht="30" customHeight="1">
      <c r="A20" s="131">
        <v>11</v>
      </c>
      <c r="B20" s="53">
        <v>42885</v>
      </c>
      <c r="C20" s="132" t="s">
        <v>456</v>
      </c>
      <c r="D20" s="132" t="s">
        <v>446</v>
      </c>
      <c r="E20" s="132" t="s">
        <v>450</v>
      </c>
      <c r="F20" s="26" t="s">
        <v>451</v>
      </c>
      <c r="G20" s="26" t="s">
        <v>452</v>
      </c>
      <c r="H20" s="26" t="s">
        <v>317</v>
      </c>
      <c r="I20" s="137">
        <v>24</v>
      </c>
      <c r="J20" s="138">
        <v>71</v>
      </c>
      <c r="K20" s="139">
        <v>1704</v>
      </c>
    </row>
    <row r="21" spans="1:11" ht="30" customHeight="1">
      <c r="A21" s="131">
        <v>12</v>
      </c>
      <c r="B21" s="53">
        <v>42868</v>
      </c>
      <c r="C21" s="132" t="s">
        <v>456</v>
      </c>
      <c r="D21" s="132" t="s">
        <v>446</v>
      </c>
      <c r="E21" s="132" t="s">
        <v>450</v>
      </c>
      <c r="F21" s="26" t="s">
        <v>451</v>
      </c>
      <c r="G21" s="26" t="s">
        <v>452</v>
      </c>
      <c r="H21" s="26" t="s">
        <v>375</v>
      </c>
      <c r="I21" s="137">
        <v>14</v>
      </c>
      <c r="J21" s="138">
        <v>84</v>
      </c>
      <c r="K21" s="139">
        <v>1176</v>
      </c>
    </row>
    <row r="22" spans="1:11" ht="30" customHeight="1">
      <c r="A22" s="131">
        <v>13</v>
      </c>
      <c r="B22" s="53">
        <v>42737</v>
      </c>
      <c r="C22" s="132" t="s">
        <v>449</v>
      </c>
      <c r="D22" s="132" t="s">
        <v>446</v>
      </c>
      <c r="E22" s="132" t="s">
        <v>457</v>
      </c>
      <c r="F22" s="26" t="s">
        <v>458</v>
      </c>
      <c r="G22" s="26" t="s">
        <v>459</v>
      </c>
      <c r="H22" s="26" t="s">
        <v>375</v>
      </c>
      <c r="I22" s="137">
        <v>14</v>
      </c>
      <c r="J22" s="138">
        <v>97</v>
      </c>
      <c r="K22" s="139">
        <v>1358</v>
      </c>
    </row>
    <row r="23" spans="1:11" ht="30" customHeight="1">
      <c r="A23" s="131">
        <v>14</v>
      </c>
      <c r="B23" s="53">
        <v>42994</v>
      </c>
      <c r="C23" s="132" t="s">
        <v>445</v>
      </c>
      <c r="D23" s="132" t="s">
        <v>446</v>
      </c>
      <c r="E23" s="132" t="s">
        <v>460</v>
      </c>
      <c r="F23" s="26" t="s">
        <v>461</v>
      </c>
      <c r="G23" s="26" t="s">
        <v>462</v>
      </c>
      <c r="H23" s="26" t="s">
        <v>367</v>
      </c>
      <c r="I23" s="137">
        <v>3</v>
      </c>
      <c r="J23" s="138">
        <v>28</v>
      </c>
      <c r="K23" s="139">
        <v>84</v>
      </c>
    </row>
    <row r="24" spans="1:11" ht="30" customHeight="1">
      <c r="A24" s="131">
        <v>14</v>
      </c>
      <c r="B24" s="53">
        <v>42994</v>
      </c>
      <c r="C24" s="132" t="s">
        <v>445</v>
      </c>
      <c r="D24" s="132" t="s">
        <v>446</v>
      </c>
      <c r="E24" s="132" t="s">
        <v>460</v>
      </c>
      <c r="F24" s="26" t="s">
        <v>461</v>
      </c>
      <c r="G24" s="26" t="s">
        <v>462</v>
      </c>
      <c r="H24" s="26" t="s">
        <v>367</v>
      </c>
      <c r="I24" s="137">
        <v>3</v>
      </c>
      <c r="J24" s="138">
        <v>28</v>
      </c>
      <c r="K24" s="139">
        <v>84</v>
      </c>
    </row>
    <row r="25" spans="1:11" ht="30" customHeight="1">
      <c r="A25" s="131">
        <v>8</v>
      </c>
      <c r="B25" s="53">
        <v>42877</v>
      </c>
      <c r="C25" s="132" t="s">
        <v>456</v>
      </c>
      <c r="D25" s="132" t="s">
        <v>446</v>
      </c>
      <c r="E25" s="132" t="s">
        <v>460</v>
      </c>
      <c r="F25" s="26" t="s">
        <v>461</v>
      </c>
      <c r="G25" s="26" t="s">
        <v>462</v>
      </c>
      <c r="H25" s="26" t="s">
        <v>463</v>
      </c>
      <c r="I25" s="137">
        <v>33</v>
      </c>
      <c r="J25" s="138">
        <v>42</v>
      </c>
      <c r="K25" s="139">
        <v>1386</v>
      </c>
    </row>
    <row r="26" spans="1:11" ht="30" customHeight="1">
      <c r="A26" s="131">
        <v>17</v>
      </c>
      <c r="B26" s="53">
        <v>42765</v>
      </c>
      <c r="C26" s="132" t="s">
        <v>464</v>
      </c>
      <c r="D26" s="132" t="s">
        <v>465</v>
      </c>
      <c r="E26" s="132" t="s">
        <v>457</v>
      </c>
      <c r="F26" s="26" t="s">
        <v>458</v>
      </c>
      <c r="G26" s="26" t="s">
        <v>459</v>
      </c>
      <c r="H26" s="26" t="s">
        <v>317</v>
      </c>
      <c r="I26" s="137">
        <v>24</v>
      </c>
      <c r="J26" s="138">
        <v>28</v>
      </c>
      <c r="K26" s="139">
        <v>672</v>
      </c>
    </row>
    <row r="27" spans="1:11" ht="30" customHeight="1">
      <c r="A27" s="131">
        <v>5</v>
      </c>
      <c r="B27" s="53">
        <v>42934</v>
      </c>
      <c r="C27" s="132" t="s">
        <v>445</v>
      </c>
      <c r="D27" s="132" t="s">
        <v>446</v>
      </c>
      <c r="E27" s="132" t="s">
        <v>457</v>
      </c>
      <c r="F27" s="26" t="s">
        <v>458</v>
      </c>
      <c r="G27" s="26" t="s">
        <v>459</v>
      </c>
      <c r="H27" s="26" t="s">
        <v>375</v>
      </c>
      <c r="I27" s="137">
        <v>14</v>
      </c>
      <c r="J27" s="138">
        <v>44</v>
      </c>
      <c r="K27" s="139">
        <v>616</v>
      </c>
    </row>
    <row r="28" spans="1:11" ht="30" customHeight="1">
      <c r="A28" s="131">
        <v>19</v>
      </c>
      <c r="B28" s="53">
        <v>42944</v>
      </c>
      <c r="C28" s="132" t="s">
        <v>464</v>
      </c>
      <c r="D28" s="132" t="s">
        <v>465</v>
      </c>
      <c r="E28" s="132" t="s">
        <v>453</v>
      </c>
      <c r="F28" s="26" t="s">
        <v>454</v>
      </c>
      <c r="G28" s="26" t="s">
        <v>455</v>
      </c>
      <c r="H28" s="26" t="s">
        <v>463</v>
      </c>
      <c r="I28" s="137">
        <v>33</v>
      </c>
      <c r="J28" s="138">
        <v>14</v>
      </c>
      <c r="K28" s="139">
        <v>462</v>
      </c>
    </row>
    <row r="29" spans="1:11" ht="30" customHeight="1">
      <c r="A29" s="131">
        <v>20</v>
      </c>
      <c r="B29" s="53">
        <v>42818</v>
      </c>
      <c r="C29" s="132" t="s">
        <v>464</v>
      </c>
      <c r="D29" s="132" t="s">
        <v>465</v>
      </c>
      <c r="E29" s="132" t="s">
        <v>450</v>
      </c>
      <c r="F29" s="26" t="s">
        <v>451</v>
      </c>
      <c r="G29" s="26" t="s">
        <v>452</v>
      </c>
      <c r="H29" s="26" t="s">
        <v>375</v>
      </c>
      <c r="I29" s="137">
        <v>14</v>
      </c>
      <c r="J29" s="138">
        <v>48</v>
      </c>
      <c r="K29" s="139">
        <v>672</v>
      </c>
    </row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0"/>
  <sheetViews>
    <sheetView workbookViewId="0">
      <selection sqref="A1:H1"/>
    </sheetView>
  </sheetViews>
  <sheetFormatPr defaultColWidth="14.44140625" defaultRowHeight="15" customHeight="1"/>
  <cols>
    <col min="1" max="1" width="10.6640625" customWidth="1"/>
    <col min="2" max="2" width="8.44140625" customWidth="1"/>
    <col min="3" max="3" width="11.6640625" customWidth="1"/>
    <col min="4" max="4" width="8.88671875" customWidth="1"/>
    <col min="5" max="7" width="8" customWidth="1"/>
    <col min="8" max="8" width="12.6640625" customWidth="1"/>
    <col min="9" max="26" width="8" customWidth="1"/>
  </cols>
  <sheetData>
    <row r="1" spans="1:8" ht="18.75" customHeight="1">
      <c r="A1" s="300" t="s">
        <v>466</v>
      </c>
      <c r="B1" s="301"/>
      <c r="C1" s="301"/>
      <c r="D1" s="301"/>
      <c r="E1" s="301"/>
      <c r="F1" s="301"/>
      <c r="G1" s="301"/>
      <c r="H1" s="301"/>
    </row>
    <row r="2" spans="1:8" ht="14.4">
      <c r="A2" s="304" t="s">
        <v>467</v>
      </c>
      <c r="B2" s="305"/>
      <c r="C2" s="305"/>
      <c r="D2" s="305"/>
      <c r="E2" s="305"/>
      <c r="F2" s="305"/>
      <c r="G2" s="305"/>
    </row>
    <row r="4" spans="1:8" ht="15.75" customHeight="1">
      <c r="A4" s="140" t="s">
        <v>468</v>
      </c>
      <c r="B4" s="140" t="s">
        <v>469</v>
      </c>
      <c r="C4" s="140" t="s">
        <v>246</v>
      </c>
      <c r="D4" s="140" t="s">
        <v>470</v>
      </c>
      <c r="E4" s="141"/>
      <c r="F4" s="21"/>
      <c r="G4" s="140" t="s">
        <v>470</v>
      </c>
      <c r="H4" s="140" t="s">
        <v>469</v>
      </c>
    </row>
    <row r="5" spans="1:8" ht="15.75" customHeight="1">
      <c r="A5" s="142" t="s">
        <v>471</v>
      </c>
      <c r="B5" s="143">
        <v>92671</v>
      </c>
      <c r="C5" s="142" t="s">
        <v>320</v>
      </c>
      <c r="D5" s="142" t="s">
        <v>472</v>
      </c>
      <c r="E5" s="141"/>
      <c r="F5" s="21"/>
      <c r="G5" s="142" t="s">
        <v>472</v>
      </c>
      <c r="H5" s="143">
        <f t="array" ref="H5">INDEX(B4:B24,MATCH(G5,D4:D24,0))</f>
        <v>92671</v>
      </c>
    </row>
    <row r="6" spans="1:8" ht="15.75" customHeight="1">
      <c r="A6" s="142" t="s">
        <v>473</v>
      </c>
      <c r="B6" s="143">
        <v>84120</v>
      </c>
      <c r="C6" s="142" t="s">
        <v>474</v>
      </c>
      <c r="D6" s="142" t="s">
        <v>475</v>
      </c>
      <c r="E6" s="141"/>
      <c r="F6" s="21"/>
      <c r="G6" s="142" t="s">
        <v>475</v>
      </c>
      <c r="H6" s="143">
        <f t="array" ref="H6">INDEX(B4:B24,MATCH(G6,D4:D24,0))</f>
        <v>84120</v>
      </c>
    </row>
    <row r="7" spans="1:8" ht="15.75" customHeight="1">
      <c r="A7" s="142" t="s">
        <v>476</v>
      </c>
      <c r="B7" s="143">
        <v>50793</v>
      </c>
      <c r="C7" s="142" t="s">
        <v>254</v>
      </c>
      <c r="D7" s="142" t="s">
        <v>477</v>
      </c>
      <c r="E7" s="141"/>
      <c r="F7" s="21"/>
      <c r="G7" s="142" t="s">
        <v>477</v>
      </c>
      <c r="H7" s="143">
        <f t="array" ref="H7">INDEX(B4:B24,MATCH(G7,D4:D24,0))</f>
        <v>50793</v>
      </c>
    </row>
    <row r="8" spans="1:8" ht="15.75" customHeight="1">
      <c r="A8" s="142" t="s">
        <v>478</v>
      </c>
      <c r="B8" s="143">
        <v>77833</v>
      </c>
      <c r="C8" s="142" t="s">
        <v>479</v>
      </c>
      <c r="D8" s="142" t="s">
        <v>480</v>
      </c>
      <c r="E8" s="141"/>
      <c r="F8" s="21"/>
      <c r="G8" s="142" t="s">
        <v>480</v>
      </c>
      <c r="H8" s="143">
        <f t="array" ref="H8">INDEX(B4:B24,MATCH(G8,D4:D24,0))</f>
        <v>77833</v>
      </c>
    </row>
    <row r="9" spans="1:8" ht="15.75" customHeight="1">
      <c r="A9" s="142" t="s">
        <v>481</v>
      </c>
      <c r="B9" s="143">
        <v>58914</v>
      </c>
      <c r="C9" s="142" t="s">
        <v>265</v>
      </c>
      <c r="D9" s="142" t="s">
        <v>482</v>
      </c>
      <c r="E9" s="141"/>
      <c r="F9" s="21"/>
      <c r="G9" s="142" t="s">
        <v>482</v>
      </c>
      <c r="H9" s="143">
        <f t="array" ref="H9">INDEX(B4:B24,MATCH(G9,D4:D24,0))</f>
        <v>58914</v>
      </c>
    </row>
    <row r="10" spans="1:8" ht="15.75" customHeight="1">
      <c r="A10" s="142" t="s">
        <v>483</v>
      </c>
      <c r="B10" s="143">
        <v>51096</v>
      </c>
      <c r="C10" s="142" t="s">
        <v>484</v>
      </c>
      <c r="D10" s="142" t="s">
        <v>485</v>
      </c>
      <c r="E10" s="141"/>
      <c r="F10" s="21"/>
      <c r="G10" s="142" t="s">
        <v>485</v>
      </c>
      <c r="H10" s="143">
        <f t="array" ref="H10">INDEX(B4:B24,MATCH(G10,D4:D24,0))</f>
        <v>51096</v>
      </c>
    </row>
    <row r="11" spans="1:8" ht="15.75" customHeight="1">
      <c r="A11" s="142" t="s">
        <v>486</v>
      </c>
      <c r="B11" s="143">
        <v>83735</v>
      </c>
      <c r="C11" s="142" t="s">
        <v>254</v>
      </c>
      <c r="D11" s="142" t="s">
        <v>487</v>
      </c>
      <c r="E11" s="141"/>
      <c r="F11" s="21"/>
      <c r="G11" s="142" t="s">
        <v>487</v>
      </c>
      <c r="H11" s="143">
        <f t="array" ref="H11">INDEX(B4:B24,MATCH(G11,D4:D24,0))</f>
        <v>83735</v>
      </c>
    </row>
    <row r="12" spans="1:8" ht="15.75" customHeight="1">
      <c r="A12" s="142" t="s">
        <v>488</v>
      </c>
      <c r="B12" s="143">
        <v>74418</v>
      </c>
      <c r="C12" s="142" t="s">
        <v>484</v>
      </c>
      <c r="D12" s="142" t="s">
        <v>489</v>
      </c>
      <c r="E12" s="141"/>
      <c r="F12" s="21"/>
      <c r="G12" s="142" t="s">
        <v>489</v>
      </c>
      <c r="H12" s="143">
        <f t="array" ref="H12">INDEX(B4:B24,MATCH(G12,D4:D24,0))</f>
        <v>74418</v>
      </c>
    </row>
    <row r="13" spans="1:8" ht="15.75" customHeight="1">
      <c r="A13" s="142" t="s">
        <v>490</v>
      </c>
      <c r="B13" s="143">
        <v>51366</v>
      </c>
      <c r="C13" s="142" t="s">
        <v>320</v>
      </c>
      <c r="D13" s="142" t="s">
        <v>491</v>
      </c>
      <c r="E13" s="141"/>
      <c r="F13" s="21"/>
      <c r="G13" s="142" t="s">
        <v>491</v>
      </c>
      <c r="H13" s="143">
        <f t="shared" ref="H13:H24" si="0">INDEX($B$4:$B$24,MATCH(G13,$D$4:$D$24,0))</f>
        <v>51366</v>
      </c>
    </row>
    <row r="14" spans="1:8" ht="15.75" customHeight="1">
      <c r="A14" s="142" t="s">
        <v>492</v>
      </c>
      <c r="B14" s="143">
        <v>54600</v>
      </c>
      <c r="C14" s="142" t="s">
        <v>265</v>
      </c>
      <c r="D14" s="142" t="s">
        <v>493</v>
      </c>
      <c r="E14" s="141"/>
      <c r="F14" s="21"/>
      <c r="G14" s="142" t="s">
        <v>493</v>
      </c>
      <c r="H14" s="143">
        <f t="shared" si="0"/>
        <v>54600</v>
      </c>
    </row>
    <row r="15" spans="1:8" ht="15.75" customHeight="1">
      <c r="A15" s="142" t="s">
        <v>494</v>
      </c>
      <c r="B15" s="143">
        <v>93509</v>
      </c>
      <c r="C15" s="142" t="s">
        <v>474</v>
      </c>
      <c r="D15" s="142" t="s">
        <v>495</v>
      </c>
      <c r="E15" s="141"/>
      <c r="F15" s="21"/>
      <c r="G15" s="142" t="s">
        <v>495</v>
      </c>
      <c r="H15" s="143">
        <f t="shared" si="0"/>
        <v>93509</v>
      </c>
    </row>
    <row r="16" spans="1:8" ht="15.75" customHeight="1">
      <c r="A16" s="142" t="s">
        <v>496</v>
      </c>
      <c r="B16" s="143">
        <v>80105</v>
      </c>
      <c r="C16" s="142" t="s">
        <v>265</v>
      </c>
      <c r="D16" s="142" t="s">
        <v>497</v>
      </c>
      <c r="E16" s="141"/>
      <c r="F16" s="21"/>
      <c r="G16" s="142" t="s">
        <v>497</v>
      </c>
      <c r="H16" s="143">
        <f t="shared" si="0"/>
        <v>80105</v>
      </c>
    </row>
    <row r="17" spans="1:8" ht="15.75" customHeight="1">
      <c r="A17" s="142" t="s">
        <v>498</v>
      </c>
      <c r="B17" s="143">
        <v>60802</v>
      </c>
      <c r="C17" s="142" t="s">
        <v>254</v>
      </c>
      <c r="D17" s="142" t="s">
        <v>499</v>
      </c>
      <c r="E17" s="141"/>
      <c r="F17" s="21"/>
      <c r="G17" s="142" t="s">
        <v>499</v>
      </c>
      <c r="H17" s="143">
        <f t="shared" si="0"/>
        <v>60802</v>
      </c>
    </row>
    <row r="18" spans="1:8" ht="15.75" customHeight="1">
      <c r="A18" s="142" t="s">
        <v>500</v>
      </c>
      <c r="B18" s="143">
        <v>76260</v>
      </c>
      <c r="C18" s="142" t="s">
        <v>320</v>
      </c>
      <c r="D18" s="142" t="s">
        <v>501</v>
      </c>
      <c r="E18" s="141"/>
      <c r="F18" s="21"/>
      <c r="G18" s="142" t="s">
        <v>501</v>
      </c>
      <c r="H18" s="143">
        <f t="shared" si="0"/>
        <v>76260</v>
      </c>
    </row>
    <row r="19" spans="1:8" ht="15.75" customHeight="1">
      <c r="A19" s="142" t="s">
        <v>502</v>
      </c>
      <c r="B19" s="143">
        <v>88965</v>
      </c>
      <c r="C19" s="142" t="s">
        <v>484</v>
      </c>
      <c r="D19" s="142" t="s">
        <v>503</v>
      </c>
      <c r="E19" s="141"/>
      <c r="F19" s="21"/>
      <c r="G19" s="142" t="s">
        <v>503</v>
      </c>
      <c r="H19" s="143">
        <f t="shared" si="0"/>
        <v>88965</v>
      </c>
    </row>
    <row r="20" spans="1:8" ht="15.75" customHeight="1">
      <c r="A20" s="142" t="s">
        <v>504</v>
      </c>
      <c r="B20" s="143">
        <v>63288</v>
      </c>
      <c r="C20" s="142" t="s">
        <v>474</v>
      </c>
      <c r="D20" s="142" t="s">
        <v>505</v>
      </c>
      <c r="E20" s="141"/>
      <c r="F20" s="21"/>
      <c r="G20" s="142" t="s">
        <v>505</v>
      </c>
      <c r="H20" s="143">
        <f t="shared" si="0"/>
        <v>63288</v>
      </c>
    </row>
    <row r="21" spans="1:8" ht="15.75" customHeight="1">
      <c r="A21" s="142" t="s">
        <v>506</v>
      </c>
      <c r="B21" s="143">
        <v>45742</v>
      </c>
      <c r="C21" s="142" t="s">
        <v>320</v>
      </c>
      <c r="D21" s="142" t="s">
        <v>507</v>
      </c>
      <c r="E21" s="141"/>
      <c r="F21" s="21"/>
      <c r="G21" s="142" t="s">
        <v>507</v>
      </c>
      <c r="H21" s="143">
        <f t="shared" si="0"/>
        <v>45742</v>
      </c>
    </row>
    <row r="22" spans="1:8" ht="15.75" customHeight="1">
      <c r="A22" s="142" t="s">
        <v>191</v>
      </c>
      <c r="B22" s="143">
        <v>88354</v>
      </c>
      <c r="C22" s="142" t="s">
        <v>254</v>
      </c>
      <c r="D22" s="142" t="s">
        <v>508</v>
      </c>
      <c r="E22" s="141"/>
      <c r="F22" s="21"/>
      <c r="G22" s="142" t="s">
        <v>508</v>
      </c>
      <c r="H22" s="143">
        <f t="shared" si="0"/>
        <v>88354</v>
      </c>
    </row>
    <row r="23" spans="1:8" ht="15.75" customHeight="1">
      <c r="A23" s="142" t="s">
        <v>509</v>
      </c>
      <c r="B23" s="143">
        <v>76641</v>
      </c>
      <c r="C23" s="142" t="s">
        <v>254</v>
      </c>
      <c r="D23" s="142" t="s">
        <v>510</v>
      </c>
      <c r="E23" s="141"/>
      <c r="F23" s="21"/>
      <c r="G23" s="142" t="s">
        <v>510</v>
      </c>
      <c r="H23" s="143">
        <f t="shared" si="0"/>
        <v>76641</v>
      </c>
    </row>
    <row r="24" spans="1:8" ht="15.75" customHeight="1">
      <c r="A24" s="142" t="s">
        <v>223</v>
      </c>
      <c r="B24" s="143">
        <v>61678</v>
      </c>
      <c r="C24" s="142" t="s">
        <v>320</v>
      </c>
      <c r="D24" s="142" t="s">
        <v>511</v>
      </c>
      <c r="E24" s="141"/>
      <c r="F24" s="21"/>
      <c r="G24" s="142" t="s">
        <v>511</v>
      </c>
      <c r="H24" s="143">
        <f t="shared" si="0"/>
        <v>61678</v>
      </c>
    </row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G2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X1000"/>
  <sheetViews>
    <sheetView workbookViewId="0"/>
  </sheetViews>
  <sheetFormatPr defaultColWidth="14.44140625" defaultRowHeight="15" customHeight="1"/>
  <cols>
    <col min="1" max="1" width="11.5546875" customWidth="1"/>
    <col min="2" max="2" width="8.44140625" customWidth="1"/>
    <col min="3" max="3" width="12.88671875" customWidth="1"/>
    <col min="4" max="4" width="11.33203125" customWidth="1"/>
    <col min="5" max="7" width="8" customWidth="1"/>
    <col min="8" max="8" width="11.5546875" customWidth="1"/>
    <col min="9" max="10" width="8" customWidth="1"/>
    <col min="11" max="11" width="62.5546875" customWidth="1"/>
    <col min="12" max="12" width="1.88671875" customWidth="1"/>
    <col min="13" max="13" width="1.44140625" customWidth="1"/>
    <col min="14" max="14" width="1.5546875" customWidth="1"/>
    <col min="15" max="16" width="0.44140625" customWidth="1"/>
    <col min="17" max="26" width="8" customWidth="1"/>
  </cols>
  <sheetData>
    <row r="1" spans="1:24" ht="18.75" customHeight="1"/>
    <row r="2" spans="1:24" ht="14.4">
      <c r="A2" s="303" t="s">
        <v>512</v>
      </c>
      <c r="B2" s="301"/>
      <c r="C2" s="301"/>
      <c r="D2" s="301"/>
      <c r="E2" s="301"/>
      <c r="F2" s="301"/>
      <c r="G2" s="301"/>
      <c r="H2" s="301"/>
    </row>
    <row r="4" spans="1:24" ht="15.75" customHeight="1">
      <c r="A4" s="140" t="s">
        <v>468</v>
      </c>
      <c r="B4" s="140" t="s">
        <v>469</v>
      </c>
      <c r="C4" s="140" t="s">
        <v>246</v>
      </c>
      <c r="D4" s="140" t="s">
        <v>470</v>
      </c>
      <c r="E4" s="141"/>
      <c r="F4" s="21"/>
      <c r="G4" s="140" t="s">
        <v>470</v>
      </c>
      <c r="H4" s="140" t="s">
        <v>469</v>
      </c>
    </row>
    <row r="5" spans="1:24" ht="15.75" customHeight="1">
      <c r="A5" s="142" t="s">
        <v>471</v>
      </c>
      <c r="B5" s="143">
        <v>92671</v>
      </c>
      <c r="C5" s="142" t="s">
        <v>320</v>
      </c>
      <c r="D5" s="142" t="s">
        <v>472</v>
      </c>
      <c r="E5" s="141"/>
      <c r="F5" s="21"/>
      <c r="G5" s="142" t="s">
        <v>472</v>
      </c>
      <c r="H5" s="143" t="e">
        <f>index</f>
        <v>#NAME?</v>
      </c>
      <c r="K5" s="21" t="s">
        <v>513</v>
      </c>
      <c r="L5" s="31"/>
      <c r="M5" s="31"/>
      <c r="N5" s="31"/>
      <c r="O5" s="31"/>
      <c r="P5" s="31"/>
      <c r="Q5" s="31"/>
      <c r="R5" s="144" t="s">
        <v>30</v>
      </c>
      <c r="S5" s="31"/>
      <c r="T5" s="31"/>
      <c r="U5" s="31"/>
      <c r="V5" s="31"/>
      <c r="W5" s="31"/>
      <c r="X5" s="31"/>
    </row>
    <row r="6" spans="1:24" ht="15.75" customHeight="1">
      <c r="A6" s="142" t="s">
        <v>473</v>
      </c>
      <c r="B6" s="143">
        <v>84120</v>
      </c>
      <c r="C6" s="142" t="s">
        <v>474</v>
      </c>
      <c r="D6" s="142" t="s">
        <v>475</v>
      </c>
      <c r="E6" s="141"/>
      <c r="F6" s="21"/>
      <c r="G6" s="142" t="s">
        <v>475</v>
      </c>
      <c r="H6" s="143"/>
      <c r="K6" s="21" t="s">
        <v>514</v>
      </c>
      <c r="L6" s="31"/>
      <c r="M6" s="31"/>
      <c r="N6" s="31"/>
      <c r="O6" s="31"/>
      <c r="P6" s="31"/>
      <c r="Q6" s="31"/>
      <c r="R6" s="145" t="s">
        <v>34</v>
      </c>
      <c r="S6" s="31"/>
      <c r="T6" s="31"/>
      <c r="U6" s="31"/>
      <c r="V6" s="31"/>
      <c r="W6" s="31"/>
      <c r="X6" s="31"/>
    </row>
    <row r="7" spans="1:24" ht="15.75" customHeight="1">
      <c r="A7" s="142" t="s">
        <v>476</v>
      </c>
      <c r="B7" s="143">
        <v>50793</v>
      </c>
      <c r="C7" s="142" t="s">
        <v>254</v>
      </c>
      <c r="D7" s="142" t="s">
        <v>477</v>
      </c>
      <c r="E7" s="141"/>
      <c r="F7" s="21"/>
      <c r="G7" s="142" t="s">
        <v>477</v>
      </c>
      <c r="H7" s="143"/>
      <c r="K7" s="31" t="s">
        <v>515</v>
      </c>
      <c r="L7" s="31"/>
      <c r="M7" s="31"/>
      <c r="N7" s="31"/>
      <c r="O7" s="31"/>
      <c r="P7" s="31"/>
      <c r="Q7" s="31"/>
      <c r="R7" s="56" t="s">
        <v>34</v>
      </c>
      <c r="S7" s="31"/>
      <c r="T7" s="31"/>
      <c r="U7" s="31"/>
      <c r="V7" s="31"/>
      <c r="W7" s="31"/>
      <c r="X7" s="31"/>
    </row>
    <row r="8" spans="1:24" ht="15.75" customHeight="1">
      <c r="A8" s="142" t="s">
        <v>478</v>
      </c>
      <c r="B8" s="143">
        <v>77833</v>
      </c>
      <c r="C8" s="142" t="s">
        <v>479</v>
      </c>
      <c r="D8" s="142" t="s">
        <v>480</v>
      </c>
      <c r="E8" s="141"/>
      <c r="F8" s="21"/>
      <c r="G8" s="142" t="s">
        <v>480</v>
      </c>
      <c r="H8" s="143"/>
    </row>
    <row r="9" spans="1:24" ht="15.75" customHeight="1">
      <c r="A9" s="142" t="s">
        <v>481</v>
      </c>
      <c r="B9" s="143">
        <v>58914</v>
      </c>
      <c r="C9" s="142" t="s">
        <v>265</v>
      </c>
      <c r="D9" s="142" t="s">
        <v>482</v>
      </c>
      <c r="E9" s="141"/>
      <c r="F9" s="21"/>
      <c r="G9" s="142" t="s">
        <v>482</v>
      </c>
      <c r="H9" s="143" t="s">
        <v>516</v>
      </c>
    </row>
    <row r="10" spans="1:24" ht="15.75" customHeight="1">
      <c r="A10" s="142" t="s">
        <v>483</v>
      </c>
      <c r="B10" s="143">
        <v>51096</v>
      </c>
      <c r="C10" s="142" t="s">
        <v>484</v>
      </c>
      <c r="D10" s="142" t="s">
        <v>485</v>
      </c>
      <c r="E10" s="141"/>
      <c r="F10" s="21"/>
      <c r="G10" s="142" t="s">
        <v>485</v>
      </c>
      <c r="H10" s="143" t="s">
        <v>516</v>
      </c>
    </row>
    <row r="11" spans="1:24" ht="15.75" customHeight="1">
      <c r="A11" s="142" t="s">
        <v>486</v>
      </c>
      <c r="B11" s="300"/>
      <c r="C11" s="301"/>
      <c r="D11" s="301"/>
      <c r="E11" s="301"/>
      <c r="F11" s="301"/>
      <c r="G11" s="301"/>
      <c r="H11" s="301"/>
      <c r="I11" s="301"/>
    </row>
    <row r="12" spans="1:24" ht="15.75" customHeight="1">
      <c r="A12" s="142" t="s">
        <v>488</v>
      </c>
      <c r="B12" s="143">
        <v>74418</v>
      </c>
      <c r="C12" s="142" t="s">
        <v>484</v>
      </c>
      <c r="D12" s="142" t="s">
        <v>489</v>
      </c>
      <c r="E12" s="141"/>
      <c r="F12" s="21"/>
      <c r="G12" s="142" t="s">
        <v>489</v>
      </c>
      <c r="H12" s="143" t="s">
        <v>516</v>
      </c>
    </row>
    <row r="13" spans="1:24" ht="15.75" customHeight="1">
      <c r="A13" s="142" t="s">
        <v>490</v>
      </c>
      <c r="B13" s="143">
        <v>51366</v>
      </c>
      <c r="C13" s="142" t="s">
        <v>320</v>
      </c>
      <c r="D13" s="142" t="s">
        <v>491</v>
      </c>
      <c r="E13" s="141"/>
      <c r="F13" s="21"/>
      <c r="G13" s="142" t="s">
        <v>491</v>
      </c>
      <c r="H13" s="143" t="s">
        <v>516</v>
      </c>
    </row>
    <row r="14" spans="1:24" ht="15.75" customHeight="1">
      <c r="A14" s="142" t="s">
        <v>492</v>
      </c>
      <c r="B14" s="143">
        <v>54600</v>
      </c>
      <c r="C14" s="142" t="s">
        <v>265</v>
      </c>
      <c r="D14" s="142" t="s">
        <v>493</v>
      </c>
      <c r="E14" s="141"/>
      <c r="F14" s="21"/>
      <c r="G14" s="142" t="s">
        <v>493</v>
      </c>
      <c r="H14" s="143" t="s">
        <v>516</v>
      </c>
    </row>
    <row r="15" spans="1:24" ht="15.75" customHeight="1">
      <c r="A15" s="142" t="s">
        <v>494</v>
      </c>
      <c r="B15" s="143">
        <v>93509</v>
      </c>
      <c r="C15" s="142" t="s">
        <v>474</v>
      </c>
      <c r="D15" s="142" t="s">
        <v>495</v>
      </c>
      <c r="E15" s="141"/>
      <c r="F15" s="21"/>
      <c r="G15" s="142" t="s">
        <v>495</v>
      </c>
      <c r="H15" s="143" t="s">
        <v>516</v>
      </c>
    </row>
    <row r="16" spans="1:24" ht="15.75" customHeight="1">
      <c r="A16" s="142" t="s">
        <v>496</v>
      </c>
      <c r="B16" s="143">
        <v>80105</v>
      </c>
      <c r="C16" s="142" t="s">
        <v>265</v>
      </c>
      <c r="D16" s="142" t="s">
        <v>497</v>
      </c>
      <c r="E16" s="141"/>
      <c r="F16" s="21"/>
      <c r="G16" s="142" t="s">
        <v>497</v>
      </c>
      <c r="H16" s="143" t="s">
        <v>516</v>
      </c>
    </row>
    <row r="17" spans="1:8" ht="15.75" customHeight="1">
      <c r="A17" s="142" t="s">
        <v>498</v>
      </c>
      <c r="B17" s="143">
        <v>60802</v>
      </c>
      <c r="C17" s="142" t="s">
        <v>254</v>
      </c>
      <c r="D17" s="142" t="s">
        <v>499</v>
      </c>
      <c r="E17" s="141"/>
      <c r="F17" s="21"/>
      <c r="G17" s="142" t="s">
        <v>499</v>
      </c>
      <c r="H17" s="143" t="s">
        <v>516</v>
      </c>
    </row>
    <row r="18" spans="1:8" ht="15.75" customHeight="1">
      <c r="A18" s="142" t="s">
        <v>500</v>
      </c>
      <c r="B18" s="143">
        <v>76260</v>
      </c>
      <c r="C18" s="142" t="s">
        <v>320</v>
      </c>
      <c r="D18" s="142" t="s">
        <v>501</v>
      </c>
      <c r="E18" s="141"/>
      <c r="F18" s="21"/>
      <c r="G18" s="142" t="s">
        <v>501</v>
      </c>
      <c r="H18" s="143" t="s">
        <v>516</v>
      </c>
    </row>
    <row r="19" spans="1:8" ht="15.75" customHeight="1">
      <c r="A19" s="142" t="s">
        <v>502</v>
      </c>
      <c r="B19" s="143">
        <v>88965</v>
      </c>
      <c r="C19" s="142" t="s">
        <v>484</v>
      </c>
      <c r="D19" s="142" t="s">
        <v>503</v>
      </c>
      <c r="E19" s="141"/>
      <c r="F19" s="21"/>
      <c r="G19" s="142" t="s">
        <v>503</v>
      </c>
      <c r="H19" s="143" t="s">
        <v>516</v>
      </c>
    </row>
    <row r="20" spans="1:8" ht="15.75" customHeight="1">
      <c r="A20" s="142" t="s">
        <v>504</v>
      </c>
      <c r="B20" s="143">
        <v>63288</v>
      </c>
      <c r="C20" s="142" t="s">
        <v>474</v>
      </c>
      <c r="D20" s="142" t="s">
        <v>505</v>
      </c>
      <c r="E20" s="141"/>
      <c r="F20" s="21"/>
      <c r="G20" s="142" t="s">
        <v>505</v>
      </c>
      <c r="H20" s="143" t="s">
        <v>516</v>
      </c>
    </row>
    <row r="21" spans="1:8" ht="15.75" customHeight="1">
      <c r="A21" s="142" t="s">
        <v>506</v>
      </c>
      <c r="B21" s="143">
        <v>45742</v>
      </c>
      <c r="C21" s="142" t="s">
        <v>320</v>
      </c>
      <c r="D21" s="142" t="s">
        <v>507</v>
      </c>
      <c r="E21" s="141"/>
      <c r="F21" s="21"/>
      <c r="G21" s="142" t="s">
        <v>507</v>
      </c>
      <c r="H21" s="143" t="s">
        <v>516</v>
      </c>
    </row>
    <row r="22" spans="1:8" ht="15.75" customHeight="1">
      <c r="A22" s="142" t="s">
        <v>191</v>
      </c>
      <c r="B22" s="143">
        <v>88354</v>
      </c>
      <c r="C22" s="142" t="s">
        <v>254</v>
      </c>
      <c r="D22" s="142" t="s">
        <v>508</v>
      </c>
      <c r="E22" s="141"/>
      <c r="F22" s="21"/>
      <c r="G22" s="142" t="s">
        <v>508</v>
      </c>
      <c r="H22" s="143" t="s">
        <v>516</v>
      </c>
    </row>
    <row r="23" spans="1:8" ht="15.75" customHeight="1">
      <c r="A23" s="142" t="s">
        <v>509</v>
      </c>
      <c r="B23" s="143">
        <v>76641</v>
      </c>
      <c r="C23" s="142" t="s">
        <v>254</v>
      </c>
      <c r="D23" s="142" t="s">
        <v>510</v>
      </c>
      <c r="E23" s="141"/>
      <c r="F23" s="21"/>
      <c r="G23" s="142" t="s">
        <v>510</v>
      </c>
      <c r="H23" s="143" t="s">
        <v>516</v>
      </c>
    </row>
    <row r="24" spans="1:8" ht="15.75" customHeight="1">
      <c r="A24" s="142" t="s">
        <v>223</v>
      </c>
      <c r="B24" s="143">
        <v>61678</v>
      </c>
      <c r="C24" s="142" t="s">
        <v>320</v>
      </c>
      <c r="D24" s="142" t="s">
        <v>511</v>
      </c>
      <c r="E24" s="141"/>
      <c r="F24" s="21"/>
      <c r="G24" s="142" t="s">
        <v>511</v>
      </c>
      <c r="H24" s="143" t="s">
        <v>516</v>
      </c>
    </row>
    <row r="25" spans="1:8" ht="15.75" customHeight="1"/>
    <row r="26" spans="1:8" ht="15.75" customHeight="1">
      <c r="A26" s="146"/>
      <c r="H26" s="144"/>
    </row>
    <row r="27" spans="1:8" ht="15.75" customHeight="1">
      <c r="A27" s="146"/>
      <c r="H27" s="145"/>
    </row>
    <row r="28" spans="1:8" ht="15.75" customHeight="1">
      <c r="H28" s="56"/>
    </row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H2"/>
    <mergeCell ref="B11:I11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FF00"/>
  </sheetPr>
  <dimension ref="A1:H1000"/>
  <sheetViews>
    <sheetView workbookViewId="0">
      <selection sqref="A1:H1"/>
    </sheetView>
  </sheetViews>
  <sheetFormatPr defaultColWidth="14.44140625" defaultRowHeight="15" customHeight="1"/>
  <cols>
    <col min="1" max="1" width="12.5546875" customWidth="1"/>
    <col min="2" max="3" width="10.6640625" customWidth="1"/>
    <col min="4" max="4" width="11.44140625" customWidth="1"/>
    <col min="5" max="5" width="8" customWidth="1"/>
    <col min="6" max="6" width="19.33203125" customWidth="1"/>
    <col min="7" max="26" width="8" customWidth="1"/>
  </cols>
  <sheetData>
    <row r="1" spans="1:8" ht="18.75" customHeight="1">
      <c r="A1" s="300" t="s">
        <v>517</v>
      </c>
      <c r="B1" s="301"/>
      <c r="C1" s="301"/>
      <c r="D1" s="301"/>
      <c r="E1" s="301"/>
      <c r="F1" s="301"/>
      <c r="G1" s="301"/>
      <c r="H1" s="301"/>
    </row>
    <row r="2" spans="1:8" ht="14.4">
      <c r="A2" s="303" t="s">
        <v>518</v>
      </c>
      <c r="B2" s="301"/>
      <c r="C2" s="301"/>
      <c r="D2" s="301"/>
      <c r="E2" s="301"/>
      <c r="F2" s="301"/>
      <c r="G2" s="301"/>
      <c r="H2" s="301"/>
    </row>
    <row r="3" spans="1:8" ht="14.4">
      <c r="F3" s="147" t="s">
        <v>519</v>
      </c>
    </row>
    <row r="4" spans="1:8" ht="14.4">
      <c r="A4" s="148" t="s">
        <v>100</v>
      </c>
      <c r="B4" s="148" t="s">
        <v>84</v>
      </c>
      <c r="C4" s="148" t="s">
        <v>86</v>
      </c>
      <c r="D4" s="148" t="s">
        <v>520</v>
      </c>
      <c r="E4" s="148" t="s">
        <v>521</v>
      </c>
      <c r="F4" s="148" t="s">
        <v>522</v>
      </c>
    </row>
    <row r="5" spans="1:8" ht="14.4">
      <c r="A5" s="149" t="s">
        <v>523</v>
      </c>
      <c r="B5" s="147" t="s">
        <v>519</v>
      </c>
      <c r="C5" s="147" t="s">
        <v>519</v>
      </c>
      <c r="D5" s="147" t="s">
        <v>524</v>
      </c>
      <c r="E5" s="147" t="s">
        <v>519</v>
      </c>
      <c r="F5" s="149" t="str">
        <f t="shared" ref="F5:F13" si="0">IF(AND(B5="PASS",C5="PASS",D5="PASS",E5="PASS"),"PASS","FAIL")</f>
        <v>FAIL</v>
      </c>
    </row>
    <row r="6" spans="1:8" ht="14.4">
      <c r="A6" s="149" t="s">
        <v>525</v>
      </c>
      <c r="B6" s="147" t="s">
        <v>519</v>
      </c>
      <c r="C6" s="147" t="s">
        <v>519</v>
      </c>
      <c r="D6" s="147" t="s">
        <v>519</v>
      </c>
      <c r="E6" s="147" t="s">
        <v>519</v>
      </c>
      <c r="F6" s="149" t="str">
        <f t="shared" si="0"/>
        <v>PASS</v>
      </c>
    </row>
    <row r="7" spans="1:8" ht="14.4">
      <c r="A7" s="149" t="s">
        <v>526</v>
      </c>
      <c r="B7" s="147" t="s">
        <v>519</v>
      </c>
      <c r="C7" s="147" t="s">
        <v>524</v>
      </c>
      <c r="D7" s="147" t="s">
        <v>519</v>
      </c>
      <c r="E7" s="147" t="s">
        <v>519</v>
      </c>
      <c r="F7" s="149" t="str">
        <f t="shared" si="0"/>
        <v>FAIL</v>
      </c>
    </row>
    <row r="8" spans="1:8" ht="14.4">
      <c r="A8" s="149" t="s">
        <v>527</v>
      </c>
      <c r="B8" s="147" t="s">
        <v>519</v>
      </c>
      <c r="C8" s="147" t="s">
        <v>519</v>
      </c>
      <c r="D8" s="147" t="s">
        <v>519</v>
      </c>
      <c r="E8" s="147" t="s">
        <v>519</v>
      </c>
      <c r="F8" s="149" t="str">
        <f t="shared" si="0"/>
        <v>PASS</v>
      </c>
    </row>
    <row r="9" spans="1:8" ht="14.4">
      <c r="A9" s="149" t="s">
        <v>528</v>
      </c>
      <c r="B9" s="147" t="s">
        <v>519</v>
      </c>
      <c r="C9" s="147" t="s">
        <v>524</v>
      </c>
      <c r="D9" s="147" t="s">
        <v>519</v>
      </c>
      <c r="E9" s="147" t="s">
        <v>519</v>
      </c>
      <c r="F9" s="149" t="str">
        <f t="shared" si="0"/>
        <v>FAIL</v>
      </c>
    </row>
    <row r="10" spans="1:8" ht="14.4">
      <c r="A10" s="149" t="s">
        <v>529</v>
      </c>
      <c r="B10" s="147" t="s">
        <v>524</v>
      </c>
      <c r="C10" s="147" t="s">
        <v>519</v>
      </c>
      <c r="D10" s="147" t="s">
        <v>519</v>
      </c>
      <c r="E10" s="147" t="s">
        <v>519</v>
      </c>
      <c r="F10" s="149" t="str">
        <f t="shared" si="0"/>
        <v>FAIL</v>
      </c>
    </row>
    <row r="11" spans="1:8" ht="14.4">
      <c r="A11" s="149" t="s">
        <v>530</v>
      </c>
      <c r="B11" s="147" t="s">
        <v>519</v>
      </c>
      <c r="C11" s="147" t="s">
        <v>519</v>
      </c>
      <c r="D11" s="147" t="s">
        <v>519</v>
      </c>
      <c r="E11" s="147" t="s">
        <v>524</v>
      </c>
      <c r="F11" s="149" t="str">
        <f t="shared" si="0"/>
        <v>FAIL</v>
      </c>
    </row>
    <row r="12" spans="1:8" ht="14.4">
      <c r="A12" s="149" t="s">
        <v>531</v>
      </c>
      <c r="B12" s="147" t="s">
        <v>519</v>
      </c>
      <c r="C12" s="147" t="s">
        <v>519</v>
      </c>
      <c r="D12" s="147" t="s">
        <v>524</v>
      </c>
      <c r="E12" s="147" t="s">
        <v>519</v>
      </c>
      <c r="F12" s="149" t="str">
        <f t="shared" si="0"/>
        <v>FAIL</v>
      </c>
    </row>
    <row r="13" spans="1:8" ht="14.4">
      <c r="A13" s="149" t="s">
        <v>116</v>
      </c>
      <c r="B13" s="147" t="s">
        <v>519</v>
      </c>
      <c r="C13" s="147" t="s">
        <v>519</v>
      </c>
      <c r="D13" s="147" t="s">
        <v>519</v>
      </c>
      <c r="E13" s="147" t="s">
        <v>519</v>
      </c>
      <c r="F13" s="149" t="str">
        <f t="shared" si="0"/>
        <v>PASS</v>
      </c>
    </row>
    <row r="15" spans="1:8" ht="14.4">
      <c r="A15" s="150" t="s">
        <v>532</v>
      </c>
      <c r="B15" s="150"/>
      <c r="C15" s="150"/>
      <c r="D15" s="150"/>
      <c r="E15" s="150"/>
      <c r="F15" s="15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0"/>
  <sheetViews>
    <sheetView workbookViewId="0">
      <selection sqref="A1:H1"/>
    </sheetView>
  </sheetViews>
  <sheetFormatPr defaultColWidth="14.44140625" defaultRowHeight="15" customHeight="1"/>
  <cols>
    <col min="1" max="1" width="13.6640625" customWidth="1"/>
    <col min="2" max="2" width="12.109375" customWidth="1"/>
    <col min="3" max="5" width="8" customWidth="1"/>
    <col min="6" max="6" width="16.44140625" customWidth="1"/>
    <col min="7" max="26" width="8" customWidth="1"/>
  </cols>
  <sheetData>
    <row r="1" spans="1:8" ht="18.75" customHeight="1">
      <c r="A1" s="300"/>
      <c r="B1" s="301"/>
      <c r="C1" s="301"/>
      <c r="D1" s="301"/>
      <c r="E1" s="301"/>
      <c r="F1" s="301"/>
      <c r="G1" s="301"/>
      <c r="H1" s="301"/>
    </row>
    <row r="2" spans="1:8" ht="14.4">
      <c r="A2" s="303" t="s">
        <v>533</v>
      </c>
      <c r="B2" s="301"/>
      <c r="C2" s="301"/>
      <c r="D2" s="301"/>
      <c r="E2" s="301"/>
      <c r="F2" s="301"/>
      <c r="G2" s="301"/>
      <c r="H2" s="301"/>
    </row>
    <row r="4" spans="1:8" ht="14.4">
      <c r="A4" s="151" t="s">
        <v>440</v>
      </c>
      <c r="B4" s="152" t="s">
        <v>534</v>
      </c>
      <c r="D4" s="152" t="s">
        <v>535</v>
      </c>
      <c r="E4" s="152" t="s">
        <v>536</v>
      </c>
      <c r="F4" s="152" t="s">
        <v>389</v>
      </c>
    </row>
    <row r="5" spans="1:8" ht="14.4">
      <c r="A5" s="153" t="s">
        <v>31</v>
      </c>
      <c r="B5" s="154">
        <v>250</v>
      </c>
      <c r="D5" s="153" t="s">
        <v>218</v>
      </c>
      <c r="E5" s="153" t="s">
        <v>537</v>
      </c>
      <c r="F5" s="153">
        <v>90</v>
      </c>
    </row>
    <row r="6" spans="1:8" ht="14.4">
      <c r="A6" s="153" t="s">
        <v>174</v>
      </c>
      <c r="B6" s="154">
        <v>110</v>
      </c>
      <c r="D6" s="153" t="s">
        <v>538</v>
      </c>
      <c r="E6" s="153" t="s">
        <v>539</v>
      </c>
      <c r="F6" s="153">
        <v>77</v>
      </c>
    </row>
    <row r="7" spans="1:8" ht="14.4">
      <c r="A7" s="153" t="s">
        <v>540</v>
      </c>
      <c r="B7" s="154">
        <v>300</v>
      </c>
      <c r="D7" s="153" t="s">
        <v>541</v>
      </c>
      <c r="E7" s="153" t="s">
        <v>537</v>
      </c>
      <c r="F7" s="153">
        <v>80</v>
      </c>
    </row>
    <row r="8" spans="1:8" ht="14.4">
      <c r="A8" s="153" t="s">
        <v>32</v>
      </c>
      <c r="B8" s="154">
        <v>50</v>
      </c>
      <c r="D8" s="153" t="s">
        <v>542</v>
      </c>
      <c r="E8" s="153" t="s">
        <v>537</v>
      </c>
      <c r="F8" s="153">
        <v>65</v>
      </c>
    </row>
    <row r="9" spans="1:8" ht="14.4">
      <c r="A9" s="153" t="s">
        <v>543</v>
      </c>
      <c r="B9" s="154">
        <v>45</v>
      </c>
      <c r="D9" s="153" t="s">
        <v>544</v>
      </c>
      <c r="E9" s="153" t="s">
        <v>539</v>
      </c>
      <c r="F9" s="153">
        <v>45</v>
      </c>
    </row>
    <row r="10" spans="1:8" ht="14.4">
      <c r="A10" s="153" t="s">
        <v>174</v>
      </c>
      <c r="B10" s="154">
        <v>23</v>
      </c>
      <c r="D10" s="153" t="s">
        <v>545</v>
      </c>
      <c r="E10" s="153" t="s">
        <v>539</v>
      </c>
      <c r="F10" s="153">
        <v>55</v>
      </c>
    </row>
    <row r="11" spans="1:8" ht="14.4">
      <c r="A11" s="153" t="s">
        <v>546</v>
      </c>
      <c r="B11" s="154">
        <v>25</v>
      </c>
    </row>
    <row r="12" spans="1:8" ht="14.4">
      <c r="A12" s="153" t="s">
        <v>31</v>
      </c>
      <c r="B12" s="154">
        <v>90</v>
      </c>
      <c r="D12" s="314" t="s">
        <v>547</v>
      </c>
      <c r="E12" s="315"/>
      <c r="F12" s="316"/>
    </row>
    <row r="13" spans="1:8" ht="14.4">
      <c r="A13" s="153" t="s">
        <v>174</v>
      </c>
      <c r="B13" s="154">
        <v>450</v>
      </c>
      <c r="D13" s="155" t="s">
        <v>548</v>
      </c>
      <c r="E13" s="317">
        <f>AVERAGEIF(E4:E10,E7,F4:F10)</f>
        <v>78.333333333333329</v>
      </c>
      <c r="F13" s="308"/>
    </row>
    <row r="14" spans="1:8" ht="14.4">
      <c r="A14" s="153" t="s">
        <v>543</v>
      </c>
      <c r="B14" s="154">
        <v>23</v>
      </c>
      <c r="D14" s="155" t="s">
        <v>539</v>
      </c>
      <c r="E14" s="317">
        <f>AVERAGEIF(E5:E10,E9,F5:F10)</f>
        <v>59</v>
      </c>
      <c r="F14" s="308"/>
    </row>
    <row r="15" spans="1:8" ht="14.4">
      <c r="A15" s="153" t="s">
        <v>31</v>
      </c>
      <c r="B15" s="154">
        <v>250</v>
      </c>
    </row>
    <row r="16" spans="1:8" ht="14.4">
      <c r="A16" s="153" t="s">
        <v>32</v>
      </c>
      <c r="B16" s="154">
        <v>25</v>
      </c>
    </row>
    <row r="17" spans="1:6" ht="14.4">
      <c r="A17" s="7"/>
      <c r="B17" s="7"/>
    </row>
    <row r="18" spans="1:6" ht="14.4">
      <c r="A18" s="155" t="s">
        <v>549</v>
      </c>
      <c r="B18" s="6">
        <f>AVERAGEIF(A5:A16,A8,B5:B16)</f>
        <v>37.5</v>
      </c>
    </row>
    <row r="19" spans="1:6" ht="14.4">
      <c r="A19" s="155" t="s">
        <v>550</v>
      </c>
      <c r="B19" s="6">
        <f>AVERAGEIF(A5:A16,A6,B5:B16)</f>
        <v>194.33333333333334</v>
      </c>
    </row>
    <row r="21" spans="1:6" ht="15.75" customHeight="1"/>
    <row r="22" spans="1:6" ht="15.75" customHeight="1">
      <c r="A22" s="152" t="s">
        <v>551</v>
      </c>
      <c r="B22" s="152" t="s">
        <v>552</v>
      </c>
      <c r="C22" s="152" t="s">
        <v>320</v>
      </c>
      <c r="E22" s="152" t="s">
        <v>440</v>
      </c>
      <c r="F22" s="152" t="s">
        <v>534</v>
      </c>
    </row>
    <row r="23" spans="1:6" ht="15.75" customHeight="1">
      <c r="A23" s="153" t="s">
        <v>428</v>
      </c>
      <c r="B23" s="153" t="s">
        <v>553</v>
      </c>
      <c r="C23" s="153">
        <v>25000</v>
      </c>
      <c r="E23" s="153" t="s">
        <v>31</v>
      </c>
      <c r="F23" s="154">
        <v>250</v>
      </c>
    </row>
    <row r="24" spans="1:6" ht="15.75" customHeight="1">
      <c r="A24" s="153" t="s">
        <v>554</v>
      </c>
      <c r="B24" s="153" t="s">
        <v>555</v>
      </c>
      <c r="C24" s="153">
        <v>12000</v>
      </c>
      <c r="E24" s="153" t="s">
        <v>174</v>
      </c>
      <c r="F24" s="154">
        <v>110</v>
      </c>
    </row>
    <row r="25" spans="1:6" ht="15.75" customHeight="1">
      <c r="A25" s="153" t="s">
        <v>427</v>
      </c>
      <c r="B25" s="153" t="s">
        <v>556</v>
      </c>
      <c r="C25" s="153">
        <v>4200</v>
      </c>
      <c r="E25" s="153" t="s">
        <v>540</v>
      </c>
      <c r="F25" s="154">
        <v>300</v>
      </c>
    </row>
    <row r="26" spans="1:6" ht="15.75" customHeight="1">
      <c r="A26" s="153" t="s">
        <v>427</v>
      </c>
      <c r="B26" s="153" t="s">
        <v>557</v>
      </c>
      <c r="C26" s="153">
        <v>5600</v>
      </c>
      <c r="E26" s="153" t="s">
        <v>32</v>
      </c>
      <c r="F26" s="154">
        <v>50</v>
      </c>
    </row>
    <row r="27" spans="1:6" ht="15.75" customHeight="1">
      <c r="A27" s="153" t="s">
        <v>430</v>
      </c>
      <c r="B27" s="153" t="s">
        <v>558</v>
      </c>
      <c r="C27" s="153">
        <v>15000</v>
      </c>
      <c r="E27" s="153" t="s">
        <v>543</v>
      </c>
      <c r="F27" s="154">
        <v>45</v>
      </c>
    </row>
    <row r="28" spans="1:6" ht="15.75" customHeight="1">
      <c r="A28" s="153" t="s">
        <v>554</v>
      </c>
      <c r="B28" s="153" t="s">
        <v>559</v>
      </c>
      <c r="C28" s="153">
        <v>7000</v>
      </c>
      <c r="E28" s="153" t="s">
        <v>174</v>
      </c>
      <c r="F28" s="154">
        <v>23</v>
      </c>
    </row>
    <row r="29" spans="1:6" ht="15.75" customHeight="1">
      <c r="A29" s="153" t="s">
        <v>428</v>
      </c>
      <c r="B29" s="153" t="s">
        <v>560</v>
      </c>
      <c r="C29" s="153">
        <v>5200</v>
      </c>
      <c r="E29" s="153" t="s">
        <v>546</v>
      </c>
      <c r="F29" s="154">
        <v>25</v>
      </c>
    </row>
    <row r="30" spans="1:6" ht="15.75" customHeight="1">
      <c r="A30" s="153" t="s">
        <v>427</v>
      </c>
      <c r="B30" s="153" t="s">
        <v>561</v>
      </c>
      <c r="C30" s="153">
        <v>6000</v>
      </c>
      <c r="E30" s="153" t="s">
        <v>31</v>
      </c>
      <c r="F30" s="154">
        <v>90</v>
      </c>
    </row>
    <row r="31" spans="1:6" ht="15.75" customHeight="1">
      <c r="A31" s="153" t="s">
        <v>430</v>
      </c>
      <c r="B31" s="153" t="s">
        <v>562</v>
      </c>
      <c r="C31" s="153">
        <v>8500</v>
      </c>
      <c r="E31" s="153" t="s">
        <v>174</v>
      </c>
      <c r="F31" s="154">
        <v>450</v>
      </c>
    </row>
    <row r="32" spans="1:6" ht="15.75" customHeight="1">
      <c r="A32" s="153" t="s">
        <v>563</v>
      </c>
      <c r="B32" s="153" t="s">
        <v>564</v>
      </c>
      <c r="C32" s="153">
        <v>12000</v>
      </c>
      <c r="E32" s="153" t="s">
        <v>543</v>
      </c>
      <c r="F32" s="154">
        <v>23</v>
      </c>
    </row>
    <row r="33" spans="1:8" ht="15.75" customHeight="1">
      <c r="A33" s="153" t="s">
        <v>427</v>
      </c>
      <c r="B33" s="153" t="s">
        <v>565</v>
      </c>
      <c r="C33" s="153">
        <v>4300</v>
      </c>
      <c r="E33" s="153" t="s">
        <v>31</v>
      </c>
      <c r="F33" s="154">
        <v>250</v>
      </c>
    </row>
    <row r="34" spans="1:8" ht="15.75" customHeight="1">
      <c r="A34" s="153" t="s">
        <v>430</v>
      </c>
      <c r="B34" s="153" t="s">
        <v>566</v>
      </c>
      <c r="C34" s="153">
        <v>1200</v>
      </c>
      <c r="E34" s="153" t="s">
        <v>32</v>
      </c>
      <c r="F34" s="154">
        <v>25</v>
      </c>
    </row>
    <row r="35" spans="1:8" ht="15.75" customHeight="1">
      <c r="A35" s="7"/>
      <c r="B35" s="7"/>
      <c r="C35" s="7"/>
      <c r="E35" s="7"/>
      <c r="F35" s="7"/>
    </row>
    <row r="36" spans="1:8" ht="15.75" customHeight="1">
      <c r="A36" s="310" t="s">
        <v>567</v>
      </c>
      <c r="B36" s="307"/>
      <c r="C36" s="308"/>
      <c r="E36" s="318" t="s">
        <v>568</v>
      </c>
      <c r="F36" s="308"/>
      <c r="G36" s="319">
        <f>AVERAGEIF(F23:F34,"&gt;250")</f>
        <v>375</v>
      </c>
      <c r="H36" s="308"/>
    </row>
    <row r="37" spans="1:8" ht="15.75" customHeight="1">
      <c r="A37" s="311">
        <f>AVERAGEIF(A23:A34,A27,C23:C34)</f>
        <v>8233.3333333333339</v>
      </c>
      <c r="B37" s="307"/>
      <c r="C37" s="308"/>
      <c r="E37" s="312" t="s">
        <v>569</v>
      </c>
      <c r="F37" s="308"/>
      <c r="G37" s="313">
        <f>AVERAGEIF(F23:F34,"&lt;100")</f>
        <v>40.142857142857146</v>
      </c>
      <c r="H37" s="308"/>
    </row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6:C36"/>
    <mergeCell ref="A37:C37"/>
    <mergeCell ref="E37:F37"/>
    <mergeCell ref="G37:H37"/>
    <mergeCell ref="A1:H1"/>
    <mergeCell ref="A2:H2"/>
    <mergeCell ref="D12:F12"/>
    <mergeCell ref="E13:F13"/>
    <mergeCell ref="E14:F14"/>
    <mergeCell ref="E36:F36"/>
    <mergeCell ref="G36:H36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H1000"/>
  <sheetViews>
    <sheetView workbookViewId="0">
      <selection sqref="A1:H1"/>
    </sheetView>
  </sheetViews>
  <sheetFormatPr defaultColWidth="14.44140625" defaultRowHeight="15" customHeight="1"/>
  <cols>
    <col min="1" max="1" width="24.44140625" customWidth="1"/>
    <col min="2" max="2" width="11.44140625" customWidth="1"/>
    <col min="3" max="3" width="8" customWidth="1"/>
    <col min="4" max="4" width="18.5546875" customWidth="1"/>
    <col min="5" max="5" width="9.44140625" customWidth="1"/>
    <col min="6" max="26" width="8" customWidth="1"/>
  </cols>
  <sheetData>
    <row r="1" spans="1:8" ht="18.75" customHeight="1">
      <c r="A1" s="300" t="s">
        <v>570</v>
      </c>
      <c r="B1" s="301"/>
      <c r="C1" s="301"/>
      <c r="D1" s="301"/>
      <c r="E1" s="301"/>
      <c r="F1" s="301"/>
      <c r="G1" s="301"/>
      <c r="H1" s="301"/>
    </row>
    <row r="2" spans="1:8" ht="14.4">
      <c r="A2" s="303" t="s">
        <v>571</v>
      </c>
      <c r="B2" s="301"/>
      <c r="C2" s="301"/>
      <c r="D2" s="301"/>
      <c r="E2" s="301"/>
      <c r="F2" s="301"/>
      <c r="G2" s="301"/>
      <c r="H2" s="301"/>
    </row>
    <row r="4" spans="1:8" ht="14.4">
      <c r="A4" s="157" t="s">
        <v>572</v>
      </c>
      <c r="B4" s="157" t="s">
        <v>573</v>
      </c>
      <c r="D4" s="157" t="s">
        <v>574</v>
      </c>
      <c r="E4" s="157" t="s">
        <v>575</v>
      </c>
    </row>
    <row r="5" spans="1:8" ht="14.4">
      <c r="A5" s="26" t="s">
        <v>576</v>
      </c>
      <c r="B5" s="26"/>
      <c r="C5" s="5" t="b">
        <v>1</v>
      </c>
      <c r="D5" s="26" t="s">
        <v>577</v>
      </c>
      <c r="E5" s="26"/>
      <c r="F5" s="5" t="b">
        <v>1</v>
      </c>
    </row>
    <row r="6" spans="1:8" ht="14.4">
      <c r="A6" s="26" t="s">
        <v>578</v>
      </c>
      <c r="B6" s="26"/>
      <c r="C6" s="5" t="b">
        <v>1</v>
      </c>
      <c r="D6" s="26" t="s">
        <v>579</v>
      </c>
      <c r="E6" s="26"/>
      <c r="F6" s="5" t="b">
        <v>1</v>
      </c>
    </row>
    <row r="7" spans="1:8" ht="14.4">
      <c r="A7" s="26" t="s">
        <v>580</v>
      </c>
      <c r="B7" s="26"/>
      <c r="C7" s="5" t="b">
        <v>1</v>
      </c>
      <c r="D7" s="26" t="s">
        <v>581</v>
      </c>
      <c r="E7" s="26"/>
      <c r="F7" s="5" t="b">
        <v>1</v>
      </c>
    </row>
    <row r="8" spans="1:8" ht="14.4">
      <c r="A8" s="26" t="s">
        <v>582</v>
      </c>
      <c r="B8" s="26"/>
      <c r="C8" s="5" t="b">
        <v>1</v>
      </c>
      <c r="D8" s="26" t="s">
        <v>583</v>
      </c>
      <c r="E8" s="26"/>
      <c r="F8" s="5" t="b">
        <v>1</v>
      </c>
    </row>
    <row r="9" spans="1:8" ht="14.4">
      <c r="D9" s="26" t="s">
        <v>584</v>
      </c>
      <c r="E9" s="26"/>
      <c r="F9" s="5" t="b">
        <v>1</v>
      </c>
    </row>
    <row r="10" spans="1:8" ht="14.4">
      <c r="A10" s="157" t="s">
        <v>574</v>
      </c>
      <c r="B10" s="157" t="s">
        <v>575</v>
      </c>
      <c r="C10" s="7"/>
      <c r="D10" s="26" t="s">
        <v>585</v>
      </c>
      <c r="E10" s="26"/>
      <c r="F10" s="5" t="b">
        <v>0</v>
      </c>
    </row>
    <row r="11" spans="1:8" ht="14.4">
      <c r="A11" s="26" t="s">
        <v>586</v>
      </c>
      <c r="B11" s="26"/>
      <c r="C11" s="5" t="b">
        <v>1</v>
      </c>
      <c r="D11" s="26" t="s">
        <v>587</v>
      </c>
      <c r="E11" s="26"/>
      <c r="F11" s="5" t="b">
        <v>1</v>
      </c>
    </row>
    <row r="12" spans="1:8" ht="14.4">
      <c r="A12" s="26" t="s">
        <v>588</v>
      </c>
      <c r="B12" s="26"/>
      <c r="C12" s="5" t="b">
        <v>0</v>
      </c>
    </row>
    <row r="13" spans="1:8" ht="14.4">
      <c r="A13" s="26" t="s">
        <v>589</v>
      </c>
      <c r="B13" s="26"/>
      <c r="C13" s="5" t="b">
        <v>1</v>
      </c>
    </row>
    <row r="14" spans="1:8" ht="14.4">
      <c r="A14" s="26" t="s">
        <v>590</v>
      </c>
      <c r="B14" s="26"/>
      <c r="C14" s="5" t="b">
        <v>0</v>
      </c>
    </row>
    <row r="15" spans="1:8" ht="14.4">
      <c r="A15" s="26" t="s">
        <v>591</v>
      </c>
      <c r="B15" s="26"/>
      <c r="C15" s="5" t="b">
        <v>1</v>
      </c>
    </row>
    <row r="16" spans="1:8" ht="14.4">
      <c r="A16" s="26" t="s">
        <v>592</v>
      </c>
      <c r="B16" s="26"/>
      <c r="C16" s="5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H1000"/>
  <sheetViews>
    <sheetView workbookViewId="0">
      <selection sqref="A1:H1"/>
    </sheetView>
  </sheetViews>
  <sheetFormatPr defaultColWidth="14.44140625" defaultRowHeight="15" customHeight="1"/>
  <cols>
    <col min="1" max="1" width="9.44140625" customWidth="1"/>
    <col min="2" max="2" width="7.44140625" customWidth="1"/>
    <col min="3" max="3" width="15.44140625" customWidth="1"/>
    <col min="4" max="6" width="8" customWidth="1"/>
    <col min="7" max="7" width="16.6640625" customWidth="1"/>
    <col min="8" max="26" width="8" customWidth="1"/>
  </cols>
  <sheetData>
    <row r="1" spans="1:8" ht="18.75" customHeight="1">
      <c r="A1" s="300" t="s">
        <v>593</v>
      </c>
      <c r="B1" s="301"/>
      <c r="C1" s="301"/>
      <c r="D1" s="301"/>
      <c r="E1" s="301"/>
      <c r="F1" s="301"/>
      <c r="G1" s="301"/>
      <c r="H1" s="301"/>
    </row>
    <row r="2" spans="1:8" ht="14.4">
      <c r="A2" s="303" t="s">
        <v>594</v>
      </c>
      <c r="B2" s="301"/>
      <c r="C2" s="301"/>
      <c r="D2" s="301"/>
      <c r="E2" s="301"/>
      <c r="F2" s="301"/>
      <c r="G2" s="301"/>
      <c r="H2" s="301"/>
    </row>
    <row r="4" spans="1:8" ht="14.4">
      <c r="A4" s="152" t="s">
        <v>595</v>
      </c>
      <c r="B4" s="152" t="s">
        <v>596</v>
      </c>
      <c r="C4" s="155" t="s">
        <v>184</v>
      </c>
      <c r="E4" s="152" t="s">
        <v>595</v>
      </c>
      <c r="F4" s="152" t="s">
        <v>596</v>
      </c>
      <c r="G4" s="155" t="s">
        <v>184</v>
      </c>
    </row>
    <row r="5" spans="1:8" ht="14.4">
      <c r="A5" s="6" t="s">
        <v>597</v>
      </c>
      <c r="B5" s="6" t="s">
        <v>598</v>
      </c>
      <c r="C5" s="158" t="str">
        <f t="shared" ref="C5:C9" si="0">IF(A5=B5,"Matching","Not Matching")</f>
        <v>Not Matching</v>
      </c>
      <c r="E5" s="6">
        <v>343749</v>
      </c>
      <c r="F5" s="6">
        <v>160466</v>
      </c>
      <c r="G5" s="6">
        <f>VLOOKUP(F5,E5:E12,1,0)</f>
        <v>160466</v>
      </c>
    </row>
    <row r="6" spans="1:8" ht="14.4">
      <c r="A6" s="6" t="s">
        <v>599</v>
      </c>
      <c r="B6" s="6" t="s">
        <v>599</v>
      </c>
      <c r="C6" s="158" t="str">
        <f t="shared" si="0"/>
        <v>Matching</v>
      </c>
      <c r="E6" s="6">
        <v>183257</v>
      </c>
      <c r="F6" s="6">
        <v>183258</v>
      </c>
      <c r="G6" s="6" t="str">
        <f>IFERROR(VLOOKUP(F6,E5:E12,1,0),"Value not in List 1")</f>
        <v>Value not in List 1</v>
      </c>
    </row>
    <row r="7" spans="1:8" ht="14.4">
      <c r="A7" s="6" t="s">
        <v>600</v>
      </c>
      <c r="B7" s="6" t="s">
        <v>601</v>
      </c>
      <c r="C7" s="158" t="str">
        <f t="shared" si="0"/>
        <v>Not Matching</v>
      </c>
      <c r="E7" s="6">
        <v>160466</v>
      </c>
      <c r="F7" s="6">
        <v>249447</v>
      </c>
      <c r="G7" s="6">
        <f>VLOOKUP(F7,E5:E12,1,0)</f>
        <v>249447</v>
      </c>
    </row>
    <row r="8" spans="1:8" ht="14.4">
      <c r="A8" s="6" t="s">
        <v>602</v>
      </c>
      <c r="B8" s="6" t="s">
        <v>602</v>
      </c>
      <c r="C8" s="158" t="str">
        <f t="shared" si="0"/>
        <v>Matching</v>
      </c>
      <c r="E8" s="6">
        <v>249447</v>
      </c>
      <c r="F8" s="6">
        <v>343749</v>
      </c>
      <c r="G8" s="6">
        <f>VLOOKUP(F8,E5:E12,1,0)</f>
        <v>343749</v>
      </c>
    </row>
    <row r="9" spans="1:8" ht="14.4">
      <c r="A9" s="6" t="s">
        <v>603</v>
      </c>
      <c r="B9" s="6" t="s">
        <v>604</v>
      </c>
      <c r="C9" s="158" t="str">
        <f t="shared" si="0"/>
        <v>Not Matching</v>
      </c>
      <c r="E9" s="6">
        <v>532765</v>
      </c>
      <c r="F9" s="6">
        <v>356160</v>
      </c>
      <c r="G9" s="6" t="str">
        <f>IFERROR(VLOOKUP(F9,E5:E12,1,0),"Value not in List 1")</f>
        <v>Value not in List 1</v>
      </c>
    </row>
    <row r="10" spans="1:8" ht="14.4">
      <c r="E10" s="6">
        <v>356163</v>
      </c>
      <c r="F10" s="6">
        <v>379391</v>
      </c>
      <c r="G10" s="6">
        <f>VLOOKUP(F10,E5:E12,1,0)</f>
        <v>379391</v>
      </c>
    </row>
    <row r="11" spans="1:8" ht="14.4">
      <c r="A11" s="11" t="s">
        <v>605</v>
      </c>
      <c r="E11" s="6">
        <v>455292</v>
      </c>
      <c r="F11" s="6">
        <v>455292</v>
      </c>
      <c r="G11" s="6">
        <f>VLOOKUP(F11,E5:E12,1,0)</f>
        <v>455292</v>
      </c>
    </row>
    <row r="12" spans="1:8" ht="14.4">
      <c r="E12" s="6">
        <v>379391</v>
      </c>
      <c r="F12" s="6">
        <v>532765</v>
      </c>
      <c r="G12" s="6">
        <f>VLOOKUP(F12,E5:E12,1,0)</f>
        <v>532765</v>
      </c>
    </row>
    <row r="14" spans="1:8" ht="14.4">
      <c r="E14" s="11" t="s">
        <v>606</v>
      </c>
    </row>
    <row r="16" spans="1:8" ht="14.4">
      <c r="A16" s="102" t="s">
        <v>607</v>
      </c>
      <c r="B16" s="31"/>
      <c r="C16" s="114" t="s">
        <v>184</v>
      </c>
      <c r="D16" s="4"/>
      <c r="E16" s="102" t="s">
        <v>608</v>
      </c>
    </row>
    <row r="17" spans="1:5" ht="14.4">
      <c r="A17" s="6" t="s">
        <v>609</v>
      </c>
      <c r="B17" s="31"/>
      <c r="C17" s="6" t="str">
        <f>VLOOKUP(A17,E17:E22,1,FALSE)</f>
        <v>Red</v>
      </c>
      <c r="D17" s="7"/>
      <c r="E17" s="6" t="s">
        <v>609</v>
      </c>
    </row>
    <row r="18" spans="1:5" ht="14.4">
      <c r="A18" s="6" t="s">
        <v>610</v>
      </c>
      <c r="B18" s="31"/>
      <c r="C18" s="6" t="str">
        <f>VLOOKUP(A19,E19:E24,1,FALSE)</f>
        <v>Green</v>
      </c>
      <c r="D18" s="7"/>
      <c r="E18" s="6" t="s">
        <v>610</v>
      </c>
    </row>
    <row r="19" spans="1:5" ht="14.4">
      <c r="A19" s="6" t="s">
        <v>611</v>
      </c>
      <c r="B19" s="31"/>
      <c r="D19" s="7"/>
      <c r="E19" s="6" t="s">
        <v>612</v>
      </c>
    </row>
    <row r="20" spans="1:5" ht="14.4">
      <c r="B20" s="31"/>
      <c r="C20" s="6" t="e">
        <f>VLOOKUP(A21,E20:E25,1,FALSE)</f>
        <v>#N/A</v>
      </c>
      <c r="D20" s="7"/>
      <c r="E20" s="6" t="s">
        <v>611</v>
      </c>
    </row>
    <row r="21" spans="1:5" ht="15.75" customHeight="1">
      <c r="A21" s="6" t="s">
        <v>613</v>
      </c>
      <c r="B21" s="31"/>
      <c r="C21" s="6" t="e">
        <f>VLOOKUP(#REF!,E21:E26,1,FALSE)</f>
        <v>#REF!</v>
      </c>
      <c r="D21" s="7"/>
      <c r="E21" s="6" t="s">
        <v>372</v>
      </c>
    </row>
    <row r="22" spans="1:5" ht="15.75" customHeight="1">
      <c r="A22" s="6" t="s">
        <v>614</v>
      </c>
      <c r="B22" s="31"/>
      <c r="C22" s="6" t="e">
        <f>VLOOKUP(A22,E22:E27,1,FALSE)</f>
        <v>#N/A</v>
      </c>
      <c r="D22" s="7"/>
      <c r="E22" s="6" t="s">
        <v>615</v>
      </c>
    </row>
    <row r="23" spans="1:5" ht="15.75" customHeight="1"/>
    <row r="24" spans="1:5" ht="15.75" customHeight="1">
      <c r="A24" s="11" t="s">
        <v>616</v>
      </c>
    </row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000"/>
  <sheetViews>
    <sheetView workbookViewId="0">
      <selection sqref="A1:D1"/>
    </sheetView>
  </sheetViews>
  <sheetFormatPr defaultColWidth="14.44140625" defaultRowHeight="15" customHeight="1"/>
  <cols>
    <col min="1" max="1" width="7.109375" customWidth="1"/>
    <col min="2" max="2" width="12" customWidth="1"/>
    <col min="3" max="3" width="13.109375" customWidth="1"/>
    <col min="4" max="4" width="22.6640625" customWidth="1"/>
    <col min="5" max="26" width="8" customWidth="1"/>
  </cols>
  <sheetData>
    <row r="1" spans="1:8" ht="18.75" customHeight="1">
      <c r="A1" s="300" t="s">
        <v>617</v>
      </c>
      <c r="B1" s="301"/>
      <c r="C1" s="301"/>
      <c r="D1" s="301"/>
      <c r="E1" s="14"/>
      <c r="F1" s="14"/>
      <c r="G1" s="14"/>
      <c r="H1" s="14"/>
    </row>
    <row r="2" spans="1:8" ht="14.4">
      <c r="A2" s="303" t="s">
        <v>618</v>
      </c>
      <c r="B2" s="301"/>
      <c r="C2" s="301"/>
      <c r="D2" s="301"/>
      <c r="E2" s="11"/>
      <c r="F2" s="11"/>
      <c r="G2" s="11"/>
      <c r="H2" s="11"/>
    </row>
    <row r="4" spans="1:8" ht="14.4">
      <c r="A4" s="159" t="s">
        <v>470</v>
      </c>
      <c r="B4" s="159" t="s">
        <v>213</v>
      </c>
      <c r="C4" s="159" t="s">
        <v>212</v>
      </c>
      <c r="D4" s="152" t="s">
        <v>244</v>
      </c>
    </row>
    <row r="5" spans="1:8" ht="14.4">
      <c r="A5" s="6" t="s">
        <v>619</v>
      </c>
      <c r="B5" s="6" t="s">
        <v>620</v>
      </c>
      <c r="C5" s="6" t="s">
        <v>621</v>
      </c>
      <c r="D5" s="6" t="str">
        <f t="shared" ref="D5:D10" si="0">CONCATENATE(B5," ",C5)</f>
        <v>Vishal Mohan</v>
      </c>
    </row>
    <row r="6" spans="1:8" ht="14.4">
      <c r="A6" s="6" t="s">
        <v>622</v>
      </c>
      <c r="B6" s="6" t="s">
        <v>218</v>
      </c>
      <c r="C6" s="6" t="s">
        <v>623</v>
      </c>
      <c r="D6" s="6" t="str">
        <f t="shared" si="0"/>
        <v>John Mathew</v>
      </c>
    </row>
    <row r="7" spans="1:8" ht="14.4">
      <c r="A7" s="6" t="s">
        <v>624</v>
      </c>
      <c r="B7" s="6" t="s">
        <v>625</v>
      </c>
      <c r="C7" s="6" t="s">
        <v>626</v>
      </c>
      <c r="D7" s="6" t="str">
        <f t="shared" si="0"/>
        <v>Jamemah Powel</v>
      </c>
    </row>
    <row r="8" spans="1:8" ht="14.4">
      <c r="A8" s="6" t="s">
        <v>627</v>
      </c>
      <c r="B8" s="6" t="s">
        <v>628</v>
      </c>
      <c r="C8" s="6" t="s">
        <v>629</v>
      </c>
      <c r="D8" s="6" t="str">
        <f t="shared" si="0"/>
        <v>Arundhati Swaminathan</v>
      </c>
    </row>
    <row r="9" spans="1:8" ht="14.4">
      <c r="A9" s="6" t="s">
        <v>630</v>
      </c>
      <c r="B9" s="6" t="s">
        <v>223</v>
      </c>
      <c r="C9" s="6" t="s">
        <v>631</v>
      </c>
      <c r="D9" s="6" t="str">
        <f t="shared" si="0"/>
        <v>Peter Potter</v>
      </c>
    </row>
    <row r="10" spans="1:8" ht="14.4">
      <c r="A10" s="6" t="s">
        <v>632</v>
      </c>
      <c r="B10" s="6" t="s">
        <v>633</v>
      </c>
      <c r="C10" s="6" t="s">
        <v>236</v>
      </c>
      <c r="D10" s="6" t="str">
        <f t="shared" si="0"/>
        <v>Roger Williams</v>
      </c>
    </row>
    <row r="12" spans="1:8" ht="14.4">
      <c r="A12" s="7" t="s">
        <v>634</v>
      </c>
      <c r="B12" s="11" t="s">
        <v>635</v>
      </c>
      <c r="C12" s="11"/>
    </row>
    <row r="15" spans="1:8" ht="14.4">
      <c r="A15" s="159" t="s">
        <v>470</v>
      </c>
      <c r="B15" s="160" t="s">
        <v>213</v>
      </c>
      <c r="C15" s="159" t="s">
        <v>212</v>
      </c>
      <c r="D15" s="152" t="s">
        <v>244</v>
      </c>
    </row>
    <row r="16" spans="1:8" ht="14.4">
      <c r="A16" s="6" t="s">
        <v>619</v>
      </c>
      <c r="B16" s="6" t="s">
        <v>620</v>
      </c>
      <c r="C16" s="6" t="s">
        <v>621</v>
      </c>
      <c r="D16" s="6" t="str">
        <f t="shared" ref="D16:D21" si="1">B16&amp;" "&amp;C16</f>
        <v>Vishal Mohan</v>
      </c>
    </row>
    <row r="17" spans="1:4" ht="14.4">
      <c r="A17" s="6" t="s">
        <v>622</v>
      </c>
      <c r="B17" s="6" t="s">
        <v>218</v>
      </c>
      <c r="C17" s="6" t="s">
        <v>623</v>
      </c>
      <c r="D17" s="6" t="str">
        <f t="shared" si="1"/>
        <v>John Mathew</v>
      </c>
    </row>
    <row r="18" spans="1:4" ht="14.4">
      <c r="A18" s="6" t="s">
        <v>624</v>
      </c>
      <c r="B18" s="6" t="s">
        <v>625</v>
      </c>
      <c r="C18" s="6" t="s">
        <v>626</v>
      </c>
      <c r="D18" s="6" t="str">
        <f t="shared" si="1"/>
        <v>Jamemah Powel</v>
      </c>
    </row>
    <row r="19" spans="1:4" ht="14.4">
      <c r="A19" s="6" t="s">
        <v>627</v>
      </c>
      <c r="B19" s="6" t="s">
        <v>628</v>
      </c>
      <c r="C19" s="6" t="s">
        <v>629</v>
      </c>
      <c r="D19" s="6" t="str">
        <f t="shared" si="1"/>
        <v>Arundhati Swaminathan</v>
      </c>
    </row>
    <row r="20" spans="1:4" ht="14.4">
      <c r="A20" s="6" t="s">
        <v>630</v>
      </c>
      <c r="B20" s="6" t="s">
        <v>223</v>
      </c>
      <c r="C20" s="6" t="s">
        <v>631</v>
      </c>
      <c r="D20" s="6" t="str">
        <f t="shared" si="1"/>
        <v>Peter Potter</v>
      </c>
    </row>
    <row r="21" spans="1:4" ht="15.75" customHeight="1">
      <c r="A21" s="6" t="s">
        <v>632</v>
      </c>
      <c r="B21" s="6" t="s">
        <v>633</v>
      </c>
      <c r="C21" s="6" t="s">
        <v>236</v>
      </c>
      <c r="D21" s="6" t="str">
        <f t="shared" si="1"/>
        <v>Roger Williams</v>
      </c>
    </row>
    <row r="22" spans="1:4" ht="15.75" customHeight="1"/>
    <row r="23" spans="1:4" ht="15.75" customHeight="1">
      <c r="A23" s="7" t="s">
        <v>634</v>
      </c>
      <c r="B23" s="11" t="s">
        <v>636</v>
      </c>
    </row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000"/>
  <sheetViews>
    <sheetView workbookViewId="0">
      <selection sqref="A1:E1"/>
    </sheetView>
  </sheetViews>
  <sheetFormatPr defaultColWidth="14.44140625" defaultRowHeight="15" customHeight="1"/>
  <cols>
    <col min="1" max="1" width="12.6640625" customWidth="1"/>
    <col min="2" max="2" width="10.88671875" customWidth="1"/>
    <col min="3" max="3" width="16.6640625" customWidth="1"/>
    <col min="4" max="4" width="22.88671875" customWidth="1"/>
    <col min="5" max="5" width="11.44140625" customWidth="1"/>
    <col min="6" max="26" width="8" customWidth="1"/>
  </cols>
  <sheetData>
    <row r="1" spans="1:17" ht="18.75" customHeight="1">
      <c r="A1" s="300" t="s">
        <v>637</v>
      </c>
      <c r="B1" s="301"/>
      <c r="C1" s="301"/>
      <c r="D1" s="301"/>
      <c r="E1" s="301"/>
    </row>
    <row r="2" spans="1:17" ht="14.4">
      <c r="A2" s="303" t="s">
        <v>638</v>
      </c>
      <c r="B2" s="301"/>
      <c r="C2" s="301"/>
      <c r="D2" s="301"/>
      <c r="E2" s="301"/>
      <c r="G2" s="5">
        <f>MATCH(C13,C5:C26,0)</f>
        <v>9</v>
      </c>
    </row>
    <row r="4" spans="1:17" ht="14.4">
      <c r="A4" s="320" t="s">
        <v>639</v>
      </c>
      <c r="B4" s="307"/>
      <c r="C4" s="307"/>
      <c r="D4" s="307"/>
      <c r="E4" s="308"/>
    </row>
    <row r="5" spans="1:17" ht="14.4">
      <c r="A5" s="161" t="s">
        <v>152</v>
      </c>
      <c r="B5" s="161" t="s">
        <v>640</v>
      </c>
      <c r="C5" s="161" t="s">
        <v>169</v>
      </c>
      <c r="D5" s="161" t="s">
        <v>641</v>
      </c>
      <c r="E5" s="161" t="s">
        <v>642</v>
      </c>
      <c r="G5" s="5">
        <f>MATCH(C10,C5:C26,0)</f>
        <v>6</v>
      </c>
      <c r="I5" s="5">
        <f>SUMIF(A6:A26,A7,B6:B26)</f>
        <v>3213</v>
      </c>
      <c r="M5" s="5" t="str">
        <f>VLOOKUP(C6,C6:E26,2,0)</f>
        <v>MIS-OPERATION</v>
      </c>
    </row>
    <row r="6" spans="1:17" ht="14.4">
      <c r="A6" s="162">
        <v>43405</v>
      </c>
      <c r="B6" s="131">
        <v>1101</v>
      </c>
      <c r="C6" s="131" t="s">
        <v>643</v>
      </c>
      <c r="D6" s="131" t="s">
        <v>644</v>
      </c>
      <c r="E6" s="131" t="s">
        <v>133</v>
      </c>
    </row>
    <row r="7" spans="1:17" ht="14.4">
      <c r="A7" s="162">
        <v>43405</v>
      </c>
      <c r="B7" s="131">
        <v>1102</v>
      </c>
      <c r="C7" s="131" t="s">
        <v>13</v>
      </c>
      <c r="D7" s="131" t="s">
        <v>645</v>
      </c>
      <c r="E7" s="131" t="s">
        <v>646</v>
      </c>
      <c r="I7" s="5">
        <f>MATCH(C13,C5:C26,0)</f>
        <v>9</v>
      </c>
      <c r="P7" s="5">
        <v>1</v>
      </c>
      <c r="Q7" s="5">
        <v>1</v>
      </c>
    </row>
    <row r="8" spans="1:17" ht="14.4">
      <c r="A8" s="162">
        <v>43407</v>
      </c>
      <c r="B8" s="131">
        <v>1103</v>
      </c>
      <c r="C8" s="131" t="s">
        <v>647</v>
      </c>
      <c r="D8" s="131" t="s">
        <v>648</v>
      </c>
      <c r="E8" s="131" t="s">
        <v>649</v>
      </c>
      <c r="G8" s="5">
        <f>MATCH(C6,C5:C26,0)</f>
        <v>2</v>
      </c>
      <c r="P8" s="5">
        <v>1</v>
      </c>
      <c r="Q8" s="5">
        <v>4</v>
      </c>
    </row>
    <row r="9" spans="1:17" ht="14.4">
      <c r="A9" s="162">
        <v>43407</v>
      </c>
      <c r="B9" s="131">
        <v>1104</v>
      </c>
      <c r="C9" s="131" t="s">
        <v>650</v>
      </c>
      <c r="D9" s="131" t="s">
        <v>651</v>
      </c>
      <c r="E9" s="131" t="s">
        <v>652</v>
      </c>
      <c r="P9" s="5">
        <v>2</v>
      </c>
    </row>
    <row r="10" spans="1:17" ht="14.4">
      <c r="A10" s="162">
        <v>43407</v>
      </c>
      <c r="B10" s="131">
        <v>1105</v>
      </c>
      <c r="C10" s="131" t="s">
        <v>653</v>
      </c>
      <c r="D10" s="131" t="s">
        <v>654</v>
      </c>
      <c r="E10" s="131" t="s">
        <v>655</v>
      </c>
      <c r="P10" s="5">
        <v>3</v>
      </c>
    </row>
    <row r="11" spans="1:17" ht="14.4">
      <c r="A11" s="162">
        <v>43410</v>
      </c>
      <c r="B11" s="131">
        <v>1106</v>
      </c>
      <c r="C11" s="131" t="s">
        <v>656</v>
      </c>
      <c r="D11" s="131" t="s">
        <v>654</v>
      </c>
      <c r="E11" s="131" t="s">
        <v>657</v>
      </c>
      <c r="F11" s="5">
        <f>MATCH(C7,C5:C26,0)</f>
        <v>3</v>
      </c>
      <c r="G11" s="5">
        <f>MATCH(C9,C5:C26,0)</f>
        <v>5</v>
      </c>
    </row>
    <row r="12" spans="1:17" ht="14.4">
      <c r="A12" s="162">
        <v>43410</v>
      </c>
      <c r="B12" s="131">
        <v>1107</v>
      </c>
      <c r="C12" s="131" t="s">
        <v>658</v>
      </c>
      <c r="D12" s="131" t="s">
        <v>659</v>
      </c>
      <c r="E12" s="131" t="s">
        <v>660</v>
      </c>
      <c r="P12" s="5">
        <v>1</v>
      </c>
      <c r="Q12" s="5">
        <v>1</v>
      </c>
    </row>
    <row r="13" spans="1:17" ht="14.4">
      <c r="A13" s="162">
        <v>43412</v>
      </c>
      <c r="B13" s="131">
        <v>1108</v>
      </c>
      <c r="C13" s="131" t="s">
        <v>661</v>
      </c>
      <c r="D13" s="131" t="s">
        <v>662</v>
      </c>
      <c r="E13" s="131" t="s">
        <v>663</v>
      </c>
      <c r="G13" s="5">
        <f>MATCH(K14,C5:C26,0)</f>
        <v>9</v>
      </c>
      <c r="L13" s="5" t="s">
        <v>664</v>
      </c>
      <c r="P13" s="5">
        <v>1</v>
      </c>
      <c r="Q13" s="5">
        <v>1</v>
      </c>
    </row>
    <row r="14" spans="1:17" ht="14.4">
      <c r="A14" s="162">
        <v>43412</v>
      </c>
      <c r="B14" s="131">
        <v>1109</v>
      </c>
      <c r="C14" s="131" t="s">
        <v>665</v>
      </c>
      <c r="D14" s="131" t="s">
        <v>666</v>
      </c>
      <c r="E14" s="131" t="s">
        <v>133</v>
      </c>
      <c r="I14" s="131" t="s">
        <v>667</v>
      </c>
      <c r="K14" s="5" t="s">
        <v>661</v>
      </c>
      <c r="L14" s="5" t="e">
        <f t="array" ref="L14">INDEX(A6:E26,MATCH(#REF!,C6:C26,0),MATCH(L13,B5:E5,0))</f>
        <v>#REF!</v>
      </c>
      <c r="P14" s="5">
        <v>2</v>
      </c>
    </row>
    <row r="15" spans="1:17" ht="14.4">
      <c r="A15" s="162">
        <v>43412</v>
      </c>
      <c r="B15" s="131">
        <v>1110</v>
      </c>
      <c r="C15" s="131" t="s">
        <v>668</v>
      </c>
      <c r="D15" s="131" t="s">
        <v>666</v>
      </c>
      <c r="E15" s="131" t="s">
        <v>669</v>
      </c>
      <c r="P15" s="5">
        <v>3</v>
      </c>
    </row>
    <row r="16" spans="1:17" ht="14.4">
      <c r="A16" s="162">
        <v>43413</v>
      </c>
      <c r="B16" s="131">
        <v>1111</v>
      </c>
      <c r="C16" s="131" t="s">
        <v>670</v>
      </c>
      <c r="D16" s="131" t="s">
        <v>666</v>
      </c>
      <c r="E16" s="131" t="s">
        <v>669</v>
      </c>
    </row>
    <row r="17" spans="1:17" ht="14.4">
      <c r="A17" s="162">
        <v>43413</v>
      </c>
      <c r="B17" s="131">
        <v>1109</v>
      </c>
      <c r="C17" s="131" t="s">
        <v>665</v>
      </c>
      <c r="D17" s="131" t="s">
        <v>666</v>
      </c>
      <c r="E17" s="131" t="s">
        <v>669</v>
      </c>
      <c r="I17" s="5">
        <f t="array" ref="I17">INDEX(B5:B26,MATCH(I14,C5:C26,0))</f>
        <v>1115</v>
      </c>
      <c r="P17" s="5">
        <v>1</v>
      </c>
      <c r="Q17" s="5">
        <v>1</v>
      </c>
    </row>
    <row r="18" spans="1:17" ht="14.4">
      <c r="A18" s="162">
        <v>43414</v>
      </c>
      <c r="B18" s="131">
        <v>1112</v>
      </c>
      <c r="C18" s="131" t="s">
        <v>671</v>
      </c>
      <c r="D18" s="131" t="s">
        <v>666</v>
      </c>
      <c r="E18" s="131" t="s">
        <v>672</v>
      </c>
      <c r="P18" s="5">
        <v>1</v>
      </c>
      <c r="Q18" s="5">
        <v>1</v>
      </c>
    </row>
    <row r="19" spans="1:17" ht="14.4">
      <c r="A19" s="162">
        <v>43414</v>
      </c>
      <c r="B19" s="131">
        <v>1113</v>
      </c>
      <c r="C19" s="131" t="s">
        <v>673</v>
      </c>
      <c r="D19" s="131" t="s">
        <v>666</v>
      </c>
      <c r="E19" s="131" t="s">
        <v>674</v>
      </c>
      <c r="P19" s="5" t="s">
        <v>675</v>
      </c>
      <c r="Q19" s="5">
        <v>4</v>
      </c>
    </row>
    <row r="20" spans="1:17" ht="14.4">
      <c r="A20" s="162">
        <v>43414</v>
      </c>
      <c r="B20" s="131">
        <v>1114</v>
      </c>
      <c r="C20" s="131" t="s">
        <v>676</v>
      </c>
      <c r="D20" s="131" t="s">
        <v>666</v>
      </c>
      <c r="E20" s="131" t="s">
        <v>674</v>
      </c>
    </row>
    <row r="21" spans="1:17" ht="15.75" customHeight="1">
      <c r="A21" s="162">
        <v>43414</v>
      </c>
      <c r="B21" s="131">
        <v>1115</v>
      </c>
      <c r="C21" s="131" t="s">
        <v>667</v>
      </c>
      <c r="D21" s="131" t="s">
        <v>666</v>
      </c>
      <c r="E21" s="131" t="s">
        <v>677</v>
      </c>
    </row>
    <row r="22" spans="1:17" ht="15.75" customHeight="1">
      <c r="A22" s="162">
        <v>43415</v>
      </c>
      <c r="B22" s="131">
        <v>1109</v>
      </c>
      <c r="C22" s="131" t="s">
        <v>665</v>
      </c>
      <c r="D22" s="131" t="s">
        <v>666</v>
      </c>
      <c r="E22" s="131" t="s">
        <v>669</v>
      </c>
      <c r="P22" s="5">
        <v>1</v>
      </c>
      <c r="Q22" s="5">
        <v>1</v>
      </c>
    </row>
    <row r="23" spans="1:17" ht="15.75" customHeight="1">
      <c r="A23" s="162">
        <v>43415</v>
      </c>
      <c r="B23" s="131">
        <v>1116</v>
      </c>
      <c r="C23" s="131" t="s">
        <v>678</v>
      </c>
      <c r="D23" s="131" t="s">
        <v>666</v>
      </c>
      <c r="E23" s="131" t="s">
        <v>677</v>
      </c>
      <c r="P23" s="5">
        <v>1</v>
      </c>
      <c r="Q23" s="5">
        <v>1</v>
      </c>
    </row>
    <row r="24" spans="1:17" ht="15.75" customHeight="1">
      <c r="A24" s="162">
        <v>43415</v>
      </c>
      <c r="B24" s="131">
        <v>1116</v>
      </c>
      <c r="C24" s="131" t="s">
        <v>678</v>
      </c>
      <c r="D24" s="131" t="s">
        <v>666</v>
      </c>
      <c r="E24" s="131" t="s">
        <v>677</v>
      </c>
      <c r="Q24" s="5">
        <v>4</v>
      </c>
    </row>
    <row r="25" spans="1:17" ht="15.75" customHeight="1">
      <c r="A25" s="162">
        <v>43415</v>
      </c>
      <c r="B25" s="131">
        <v>1116</v>
      </c>
      <c r="C25" s="131" t="s">
        <v>678</v>
      </c>
      <c r="D25" s="131" t="s">
        <v>666</v>
      </c>
      <c r="E25" s="131" t="s">
        <v>677</v>
      </c>
      <c r="P25" s="5">
        <v>2</v>
      </c>
    </row>
    <row r="26" spans="1:17" ht="15.75" customHeight="1">
      <c r="A26" s="163">
        <v>43405</v>
      </c>
      <c r="B26" s="131">
        <v>1010</v>
      </c>
      <c r="C26" s="131" t="s">
        <v>679</v>
      </c>
      <c r="D26" s="131" t="s">
        <v>680</v>
      </c>
      <c r="E26" s="131" t="s">
        <v>681</v>
      </c>
    </row>
    <row r="27" spans="1:17" ht="15.75" customHeight="1"/>
    <row r="28" spans="1:17" ht="15.75" customHeight="1">
      <c r="A28" s="11" t="s">
        <v>682</v>
      </c>
      <c r="D28" s="164" t="s">
        <v>39</v>
      </c>
    </row>
    <row r="29" spans="1:17" ht="15.75" customHeight="1">
      <c r="A29" s="11" t="s">
        <v>683</v>
      </c>
      <c r="D29" s="164" t="s">
        <v>30</v>
      </c>
    </row>
    <row r="30" spans="1:17" ht="15.75" customHeight="1">
      <c r="A30" s="11" t="s">
        <v>684</v>
      </c>
      <c r="E30" s="56" t="s">
        <v>383</v>
      </c>
    </row>
    <row r="31" spans="1:17" ht="15.75" customHeight="1">
      <c r="A31" s="11" t="s">
        <v>685</v>
      </c>
      <c r="E31" s="56" t="s">
        <v>686</v>
      </c>
      <c r="G31" s="5">
        <f t="array" ref="G31">INDEX(B5:B26,MATCH(K14,C5:C26,0))</f>
        <v>1108</v>
      </c>
    </row>
    <row r="32" spans="1:17" ht="15.75" customHeight="1">
      <c r="A32" s="11" t="s">
        <v>687</v>
      </c>
      <c r="E32" s="56" t="s">
        <v>688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4:E4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1000"/>
  <sheetViews>
    <sheetView workbookViewId="0">
      <selection sqref="A1:E1"/>
    </sheetView>
  </sheetViews>
  <sheetFormatPr defaultColWidth="14.44140625" defaultRowHeight="15" customHeight="1"/>
  <cols>
    <col min="1" max="26" width="12.5546875" customWidth="1"/>
  </cols>
  <sheetData>
    <row r="1" spans="1:5" ht="18.75" customHeight="1">
      <c r="A1" s="300" t="s">
        <v>689</v>
      </c>
      <c r="B1" s="301"/>
      <c r="C1" s="301"/>
      <c r="D1" s="301"/>
      <c r="E1" s="301"/>
    </row>
    <row r="2" spans="1:5" ht="14.4">
      <c r="A2" s="303" t="s">
        <v>690</v>
      </c>
      <c r="B2" s="301"/>
      <c r="C2" s="301"/>
      <c r="D2" s="301"/>
      <c r="E2" s="301"/>
    </row>
    <row r="3" spans="1:5" ht="14.4">
      <c r="A3" s="4"/>
      <c r="B3" s="4"/>
      <c r="C3" s="4"/>
      <c r="D3" s="4"/>
      <c r="E3" s="4"/>
    </row>
    <row r="4" spans="1:5" ht="14.4">
      <c r="C4" s="165" t="s">
        <v>691</v>
      </c>
    </row>
    <row r="5" spans="1:5" ht="14.4">
      <c r="A5" s="166" t="s">
        <v>640</v>
      </c>
      <c r="B5" s="166" t="s">
        <v>213</v>
      </c>
      <c r="C5" s="166" t="s">
        <v>212</v>
      </c>
      <c r="D5" s="166" t="s">
        <v>246</v>
      </c>
      <c r="E5" s="166" t="s">
        <v>692</v>
      </c>
    </row>
    <row r="6" spans="1:5" ht="14.4">
      <c r="A6" s="167">
        <v>101</v>
      </c>
      <c r="B6" s="167" t="s">
        <v>693</v>
      </c>
      <c r="C6" s="167" t="s">
        <v>694</v>
      </c>
      <c r="D6" s="167" t="s">
        <v>265</v>
      </c>
      <c r="E6" s="167" t="s">
        <v>695</v>
      </c>
    </row>
    <row r="7" spans="1:5" ht="14.4">
      <c r="A7" s="6">
        <v>102</v>
      </c>
      <c r="B7" s="6" t="s">
        <v>696</v>
      </c>
      <c r="C7" s="6" t="s">
        <v>697</v>
      </c>
      <c r="D7" s="6" t="s">
        <v>254</v>
      </c>
      <c r="E7" s="6" t="s">
        <v>564</v>
      </c>
    </row>
    <row r="8" spans="1:5" ht="14.4">
      <c r="A8" s="167">
        <v>103</v>
      </c>
      <c r="B8" s="167" t="s">
        <v>197</v>
      </c>
      <c r="C8" s="167" t="s">
        <v>486</v>
      </c>
      <c r="D8" s="167" t="s">
        <v>265</v>
      </c>
      <c r="E8" s="167" t="s">
        <v>564</v>
      </c>
    </row>
    <row r="9" spans="1:5" ht="14.4">
      <c r="A9" s="6">
        <v>104</v>
      </c>
      <c r="B9" s="6" t="s">
        <v>191</v>
      </c>
      <c r="C9" s="6" t="s">
        <v>325</v>
      </c>
      <c r="D9" s="6" t="s">
        <v>254</v>
      </c>
      <c r="E9" s="6" t="s">
        <v>562</v>
      </c>
    </row>
    <row r="10" spans="1:5" ht="14.4">
      <c r="A10" s="167">
        <v>105</v>
      </c>
      <c r="B10" s="167" t="s">
        <v>197</v>
      </c>
      <c r="C10" s="167" t="s">
        <v>221</v>
      </c>
      <c r="D10" s="167" t="s">
        <v>254</v>
      </c>
      <c r="E10" s="167" t="s">
        <v>695</v>
      </c>
    </row>
    <row r="11" spans="1:5" ht="14.4">
      <c r="A11" s="6">
        <v>106</v>
      </c>
      <c r="B11" s="6" t="s">
        <v>698</v>
      </c>
      <c r="C11" s="6" t="s">
        <v>699</v>
      </c>
      <c r="D11" s="6" t="s">
        <v>484</v>
      </c>
      <c r="E11" s="6" t="s">
        <v>562</v>
      </c>
    </row>
    <row r="12" spans="1:5" ht="14.4">
      <c r="A12" s="167">
        <v>107</v>
      </c>
      <c r="B12" s="167" t="s">
        <v>700</v>
      </c>
      <c r="C12" s="167" t="s">
        <v>701</v>
      </c>
      <c r="D12" s="167" t="s">
        <v>265</v>
      </c>
      <c r="E12" s="167" t="s">
        <v>564</v>
      </c>
    </row>
    <row r="13" spans="1:5" ht="14.4">
      <c r="A13" s="6">
        <v>108</v>
      </c>
      <c r="B13" s="6" t="s">
        <v>702</v>
      </c>
      <c r="C13" s="6" t="s">
        <v>703</v>
      </c>
      <c r="D13" s="6" t="s">
        <v>254</v>
      </c>
      <c r="E13" s="6" t="s">
        <v>695</v>
      </c>
    </row>
    <row r="14" spans="1:5" ht="14.4">
      <c r="A14" s="167">
        <v>109</v>
      </c>
      <c r="B14" s="167" t="s">
        <v>704</v>
      </c>
      <c r="C14" s="167" t="s">
        <v>705</v>
      </c>
      <c r="D14" s="167" t="s">
        <v>484</v>
      </c>
      <c r="E14" s="167" t="s">
        <v>564</v>
      </c>
    </row>
    <row r="15" spans="1:5" ht="14.4">
      <c r="A15" s="168">
        <v>110</v>
      </c>
      <c r="B15" s="168" t="s">
        <v>706</v>
      </c>
      <c r="C15" s="168" t="s">
        <v>707</v>
      </c>
      <c r="D15" s="168" t="s">
        <v>484</v>
      </c>
      <c r="E15" s="168" t="s">
        <v>562</v>
      </c>
    </row>
    <row r="19" spans="1:11" ht="14.4">
      <c r="C19" s="165" t="s">
        <v>708</v>
      </c>
    </row>
    <row r="20" spans="1:11" ht="14.4">
      <c r="A20" s="166" t="s">
        <v>640</v>
      </c>
      <c r="B20" s="166" t="s">
        <v>213</v>
      </c>
      <c r="C20" s="166" t="s">
        <v>212</v>
      </c>
      <c r="D20" s="166" t="s">
        <v>246</v>
      </c>
      <c r="E20" s="166" t="s">
        <v>692</v>
      </c>
      <c r="G20" s="169" t="s">
        <v>640</v>
      </c>
      <c r="H20" s="166" t="s">
        <v>213</v>
      </c>
      <c r="I20" s="170" t="s">
        <v>212</v>
      </c>
      <c r="J20" s="166" t="s">
        <v>246</v>
      </c>
      <c r="K20" s="171" t="s">
        <v>692</v>
      </c>
    </row>
    <row r="21" spans="1:11" ht="15.75" customHeight="1">
      <c r="A21" s="167">
        <v>101</v>
      </c>
      <c r="B21" s="167" t="str">
        <f t="shared" ref="B21:E21" si="0">VLOOKUP(A21,A5:E15,2, )</f>
        <v>Donald</v>
      </c>
      <c r="C21" s="167" t="str">
        <f t="shared" si="0"/>
        <v>Patrick</v>
      </c>
      <c r="D21" s="167" t="str">
        <f t="shared" si="0"/>
        <v>Finance</v>
      </c>
      <c r="E21" s="167" t="str">
        <f t="shared" si="0"/>
        <v>Banglore</v>
      </c>
      <c r="G21" s="172">
        <v>101</v>
      </c>
      <c r="H21" s="30" t="str">
        <f t="shared" ref="H21:H30" si="1">VLOOKUP($G21,$A$5:$E$15,2,0)</f>
        <v>Donald</v>
      </c>
      <c r="I21" s="173" t="str">
        <f t="shared" ref="I21:I30" si="2">VLOOKUP($G21,$A$5:$E$15,3,0)</f>
        <v>Patrick</v>
      </c>
      <c r="J21" s="30" t="str">
        <f t="shared" ref="J21:J30" si="3">VLOOKUP($G21,$A$5:$E$15,4,0)</f>
        <v>Finance</v>
      </c>
      <c r="K21" s="174" t="str">
        <f t="shared" ref="K21:K30" si="4">VLOOKUP($G21,$A$5:$E$15,5,0)</f>
        <v>Banglore</v>
      </c>
    </row>
    <row r="22" spans="1:11" ht="15.75" customHeight="1">
      <c r="A22" s="6">
        <v>103</v>
      </c>
      <c r="B22" s="6" t="s">
        <v>516</v>
      </c>
      <c r="C22" s="6" t="s">
        <v>516</v>
      </c>
      <c r="D22" s="6" t="s">
        <v>516</v>
      </c>
      <c r="E22" s="6" t="s">
        <v>516</v>
      </c>
      <c r="G22" s="172">
        <v>103</v>
      </c>
      <c r="H22" s="30" t="str">
        <f t="shared" si="1"/>
        <v>Ian</v>
      </c>
      <c r="I22" s="173" t="str">
        <f t="shared" si="2"/>
        <v>Jacob</v>
      </c>
      <c r="J22" s="30" t="str">
        <f t="shared" si="3"/>
        <v>Finance</v>
      </c>
      <c r="K22" s="174" t="str">
        <f t="shared" si="4"/>
        <v>Hyderabad</v>
      </c>
    </row>
    <row r="23" spans="1:11" ht="15.75" customHeight="1">
      <c r="A23" s="167">
        <v>102</v>
      </c>
      <c r="B23" s="6" t="s">
        <v>516</v>
      </c>
      <c r="C23" s="6" t="s">
        <v>516</v>
      </c>
      <c r="D23" s="6" t="s">
        <v>516</v>
      </c>
      <c r="E23" s="6" t="s">
        <v>516</v>
      </c>
      <c r="G23" s="172">
        <v>102</v>
      </c>
      <c r="H23" s="30" t="str">
        <f t="shared" si="1"/>
        <v>Samuel</v>
      </c>
      <c r="I23" s="173" t="str">
        <f t="shared" si="2"/>
        <v>Samson</v>
      </c>
      <c r="J23" s="30" t="str">
        <f t="shared" si="3"/>
        <v>Marketing</v>
      </c>
      <c r="K23" s="174" t="str">
        <f t="shared" si="4"/>
        <v>Hyderabad</v>
      </c>
    </row>
    <row r="24" spans="1:11" ht="15.75" customHeight="1">
      <c r="A24" s="6">
        <v>105</v>
      </c>
      <c r="B24" s="6" t="s">
        <v>516</v>
      </c>
      <c r="C24" s="6" t="s">
        <v>516</v>
      </c>
      <c r="D24" s="6" t="s">
        <v>516</v>
      </c>
      <c r="E24" s="6" t="s">
        <v>516</v>
      </c>
      <c r="G24" s="175">
        <v>105</v>
      </c>
      <c r="H24" s="176" t="str">
        <f t="shared" si="1"/>
        <v>Ian</v>
      </c>
      <c r="I24" s="176" t="str">
        <f t="shared" si="2"/>
        <v>Smith</v>
      </c>
      <c r="J24" s="176" t="str">
        <f t="shared" si="3"/>
        <v>Marketing</v>
      </c>
      <c r="K24" s="176" t="str">
        <f t="shared" si="4"/>
        <v>Banglore</v>
      </c>
    </row>
    <row r="25" spans="1:11" ht="15.75" customHeight="1">
      <c r="A25" s="167">
        <v>108</v>
      </c>
      <c r="B25" s="6" t="s">
        <v>516</v>
      </c>
      <c r="C25" s="6" t="s">
        <v>516</v>
      </c>
      <c r="D25" s="6" t="s">
        <v>516</v>
      </c>
      <c r="E25" s="6" t="s">
        <v>516</v>
      </c>
      <c r="G25" s="175">
        <v>108</v>
      </c>
      <c r="H25" s="176" t="str">
        <f t="shared" si="1"/>
        <v>Christine</v>
      </c>
      <c r="I25" s="176" t="str">
        <f t="shared" si="2"/>
        <v>Salvi</v>
      </c>
      <c r="J25" s="176" t="str">
        <f t="shared" si="3"/>
        <v>Marketing</v>
      </c>
      <c r="K25" s="176" t="str">
        <f t="shared" si="4"/>
        <v>Banglore</v>
      </c>
    </row>
    <row r="26" spans="1:11" ht="15.75" customHeight="1">
      <c r="A26" s="6">
        <v>106</v>
      </c>
      <c r="B26" s="6" t="s">
        <v>516</v>
      </c>
      <c r="C26" s="6" t="s">
        <v>516</v>
      </c>
      <c r="D26" s="6" t="s">
        <v>516</v>
      </c>
      <c r="E26" s="6" t="s">
        <v>516</v>
      </c>
      <c r="G26" s="172">
        <v>106</v>
      </c>
      <c r="H26" s="30" t="str">
        <f t="shared" si="1"/>
        <v>Henry</v>
      </c>
      <c r="I26" s="173" t="str">
        <f t="shared" si="2"/>
        <v>Madrid</v>
      </c>
      <c r="J26" s="30" t="str">
        <f t="shared" si="3"/>
        <v>IT</v>
      </c>
      <c r="K26" s="174" t="str">
        <f t="shared" si="4"/>
        <v>Pune</v>
      </c>
    </row>
    <row r="27" spans="1:11" ht="15.75" customHeight="1">
      <c r="A27" s="167">
        <v>107</v>
      </c>
      <c r="B27" s="6" t="s">
        <v>516</v>
      </c>
      <c r="C27" s="6" t="s">
        <v>516</v>
      </c>
      <c r="D27" s="6" t="s">
        <v>516</v>
      </c>
      <c r="E27" s="6" t="s">
        <v>516</v>
      </c>
      <c r="G27" s="172">
        <v>107</v>
      </c>
      <c r="H27" s="30" t="str">
        <f t="shared" si="1"/>
        <v>Ronica</v>
      </c>
      <c r="I27" s="173" t="str">
        <f t="shared" si="2"/>
        <v>Brave</v>
      </c>
      <c r="J27" s="30" t="str">
        <f t="shared" si="3"/>
        <v>Finance</v>
      </c>
      <c r="K27" s="174" t="str">
        <f t="shared" si="4"/>
        <v>Hyderabad</v>
      </c>
    </row>
    <row r="28" spans="1:11" ht="15.75" customHeight="1">
      <c r="A28" s="6">
        <v>104</v>
      </c>
      <c r="B28" s="6" t="s">
        <v>516</v>
      </c>
      <c r="C28" s="6" t="s">
        <v>516</v>
      </c>
      <c r="D28" s="6" t="s">
        <v>516</v>
      </c>
      <c r="E28" s="6" t="s">
        <v>516</v>
      </c>
      <c r="G28" s="172">
        <v>104</v>
      </c>
      <c r="H28" s="30" t="str">
        <f t="shared" si="1"/>
        <v>David</v>
      </c>
      <c r="I28" s="173" t="str">
        <f t="shared" si="2"/>
        <v>Johnson</v>
      </c>
      <c r="J28" s="30" t="str">
        <f t="shared" si="3"/>
        <v>Marketing</v>
      </c>
      <c r="K28" s="174" t="str">
        <f t="shared" si="4"/>
        <v>Pune</v>
      </c>
    </row>
    <row r="29" spans="1:11" ht="15.75" customHeight="1">
      <c r="A29" s="167">
        <v>109</v>
      </c>
      <c r="B29" s="6" t="s">
        <v>516</v>
      </c>
      <c r="C29" s="6" t="s">
        <v>516</v>
      </c>
      <c r="D29" s="6" t="s">
        <v>516</v>
      </c>
      <c r="E29" s="6" t="s">
        <v>516</v>
      </c>
      <c r="G29" s="172">
        <v>109</v>
      </c>
      <c r="H29" s="30" t="str">
        <f t="shared" si="1"/>
        <v>Andrew</v>
      </c>
      <c r="I29" s="173" t="str">
        <f t="shared" si="2"/>
        <v>Baisley</v>
      </c>
      <c r="J29" s="30" t="str">
        <f t="shared" si="3"/>
        <v>IT</v>
      </c>
      <c r="K29" s="174" t="str">
        <f t="shared" si="4"/>
        <v>Hyderabad</v>
      </c>
    </row>
    <row r="30" spans="1:11" ht="15.75" customHeight="1">
      <c r="A30" s="168">
        <v>110</v>
      </c>
      <c r="B30" s="6" t="s">
        <v>516</v>
      </c>
      <c r="C30" s="6" t="s">
        <v>516</v>
      </c>
      <c r="D30" s="6" t="s">
        <v>516</v>
      </c>
      <c r="E30" s="6" t="s">
        <v>516</v>
      </c>
      <c r="G30" s="172">
        <v>110</v>
      </c>
      <c r="H30" s="30" t="str">
        <f t="shared" si="1"/>
        <v>Erica</v>
      </c>
      <c r="I30" s="173" t="str">
        <f t="shared" si="2"/>
        <v>Irons</v>
      </c>
      <c r="J30" s="30" t="str">
        <f t="shared" si="3"/>
        <v>IT</v>
      </c>
      <c r="K30" s="174" t="str">
        <f t="shared" si="4"/>
        <v>Pune</v>
      </c>
    </row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000"/>
  <sheetViews>
    <sheetView workbookViewId="0"/>
  </sheetViews>
  <sheetFormatPr defaultColWidth="14.44140625" defaultRowHeight="15" customHeight="1"/>
  <cols>
    <col min="1" max="1" width="10.44140625" customWidth="1"/>
    <col min="2" max="5" width="8" customWidth="1"/>
    <col min="6" max="6" width="13.88671875" customWidth="1"/>
    <col min="7" max="7" width="17.44140625" customWidth="1"/>
    <col min="8" max="26" width="8" customWidth="1"/>
  </cols>
  <sheetData>
    <row r="1" spans="1:10" ht="18.75" customHeight="1">
      <c r="A1" s="300" t="s">
        <v>709</v>
      </c>
      <c r="B1" s="301"/>
      <c r="C1" s="301"/>
      <c r="D1" s="301"/>
      <c r="E1" s="301"/>
      <c r="F1" s="301"/>
      <c r="G1" s="301"/>
    </row>
    <row r="2" spans="1:10" ht="14.4">
      <c r="A2" s="303" t="s">
        <v>710</v>
      </c>
      <c r="B2" s="301"/>
      <c r="C2" s="301"/>
      <c r="D2" s="301"/>
      <c r="E2" s="301"/>
      <c r="F2" s="301"/>
      <c r="G2" s="301"/>
    </row>
    <row r="4" spans="1:10" ht="14.4">
      <c r="F4" s="321" t="s">
        <v>711</v>
      </c>
      <c r="G4" s="301"/>
    </row>
    <row r="5" spans="1:10" ht="30" customHeight="1">
      <c r="A5" s="134" t="s">
        <v>712</v>
      </c>
      <c r="B5" s="134" t="s">
        <v>713</v>
      </c>
      <c r="C5" s="134" t="s">
        <v>714</v>
      </c>
      <c r="D5" s="31"/>
      <c r="E5" s="31"/>
      <c r="F5" s="31" t="s">
        <v>713</v>
      </c>
      <c r="G5" s="31" t="s">
        <v>715</v>
      </c>
    </row>
    <row r="6" spans="1:10" ht="14.4">
      <c r="A6" s="43">
        <v>43119</v>
      </c>
      <c r="B6" s="43" t="s">
        <v>716</v>
      </c>
      <c r="C6" s="177">
        <v>201439.5</v>
      </c>
      <c r="D6" s="31"/>
      <c r="E6" s="31"/>
      <c r="F6" s="31"/>
      <c r="G6" s="178"/>
    </row>
    <row r="7" spans="1:10" ht="14.4">
      <c r="A7" s="43">
        <v>43116</v>
      </c>
      <c r="B7" s="43" t="s">
        <v>716</v>
      </c>
      <c r="C7" s="177">
        <v>352518.75</v>
      </c>
      <c r="D7" s="31"/>
      <c r="E7" s="31"/>
      <c r="F7" s="179" t="s">
        <v>712</v>
      </c>
      <c r="G7" s="180" t="s">
        <v>717</v>
      </c>
    </row>
    <row r="8" spans="1:10" ht="14.4">
      <c r="A8" s="43">
        <v>43122</v>
      </c>
      <c r="B8" s="43" t="s">
        <v>716</v>
      </c>
      <c r="C8" s="177">
        <v>172406.25</v>
      </c>
      <c r="D8" s="31"/>
      <c r="E8" s="31"/>
      <c r="F8" s="181">
        <v>43112</v>
      </c>
      <c r="G8" s="182">
        <v>240000</v>
      </c>
    </row>
    <row r="9" spans="1:10" ht="14.4">
      <c r="A9" s="43">
        <v>43112</v>
      </c>
      <c r="B9" s="43" t="s">
        <v>716</v>
      </c>
      <c r="C9" s="177">
        <v>240000</v>
      </c>
      <c r="D9" s="31"/>
      <c r="E9" s="31"/>
      <c r="F9" s="181">
        <v>43116</v>
      </c>
      <c r="G9" s="182">
        <v>352518.75</v>
      </c>
    </row>
    <row r="10" spans="1:10" ht="14.4">
      <c r="A10" s="43">
        <v>43136</v>
      </c>
      <c r="B10" s="43" t="s">
        <v>718</v>
      </c>
      <c r="C10" s="177">
        <v>15204.75</v>
      </c>
      <c r="D10" s="31"/>
      <c r="E10" s="31"/>
      <c r="F10" s="181">
        <v>43119</v>
      </c>
      <c r="G10" s="182">
        <v>201439.5</v>
      </c>
    </row>
    <row r="11" spans="1:10" ht="14.4">
      <c r="A11" s="43">
        <v>43133</v>
      </c>
      <c r="B11" s="43" t="s">
        <v>718</v>
      </c>
      <c r="C11" s="177">
        <v>24327</v>
      </c>
      <c r="D11" s="31"/>
      <c r="E11" s="31"/>
      <c r="F11" s="181">
        <v>43122</v>
      </c>
      <c r="G11" s="182">
        <v>172406.25</v>
      </c>
      <c r="J11" s="5">
        <f>SUMPRODUCT(G8:G13)</f>
        <v>1005896.25</v>
      </c>
    </row>
    <row r="12" spans="1:10" ht="14.4">
      <c r="A12" s="43">
        <v>43144</v>
      </c>
      <c r="B12" s="43" t="s">
        <v>718</v>
      </c>
      <c r="C12" s="177">
        <v>50548.5</v>
      </c>
      <c r="D12" s="31"/>
      <c r="E12" s="31"/>
      <c r="F12" s="181">
        <v>43133</v>
      </c>
      <c r="G12" s="182">
        <v>24327</v>
      </c>
    </row>
    <row r="13" spans="1:10" ht="14.4">
      <c r="A13" s="43">
        <v>43146</v>
      </c>
      <c r="B13" s="43" t="s">
        <v>718</v>
      </c>
      <c r="C13" s="177">
        <v>15105.75</v>
      </c>
      <c r="D13" s="31"/>
      <c r="E13" s="31"/>
      <c r="F13" s="181">
        <v>43136</v>
      </c>
      <c r="G13" s="182">
        <v>15204.75</v>
      </c>
    </row>
    <row r="14" spans="1:10" ht="14.4">
      <c r="A14" s="43">
        <v>43146</v>
      </c>
      <c r="B14" s="43" t="s">
        <v>718</v>
      </c>
      <c r="C14" s="177">
        <v>19901.25</v>
      </c>
      <c r="D14" s="31"/>
      <c r="E14" s="31"/>
      <c r="F14" s="181">
        <v>43140</v>
      </c>
      <c r="G14" s="182">
        <v>15204.75</v>
      </c>
    </row>
    <row r="15" spans="1:10" ht="14.4">
      <c r="A15" s="43">
        <v>43140</v>
      </c>
      <c r="B15" s="43" t="s">
        <v>718</v>
      </c>
      <c r="C15" s="177">
        <v>15204.75</v>
      </c>
      <c r="D15" s="31"/>
      <c r="E15" s="31"/>
      <c r="F15" s="181">
        <v>43144</v>
      </c>
      <c r="G15" s="182">
        <v>50548.5</v>
      </c>
    </row>
    <row r="16" spans="1:10" ht="14.4">
      <c r="A16" s="43">
        <v>43153</v>
      </c>
      <c r="B16" s="43" t="s">
        <v>718</v>
      </c>
      <c r="C16" s="177">
        <v>300000</v>
      </c>
      <c r="D16" s="31"/>
      <c r="E16" s="31"/>
      <c r="F16" s="181">
        <v>43146</v>
      </c>
      <c r="G16" s="182">
        <v>35007</v>
      </c>
    </row>
    <row r="17" spans="1:7" ht="14.4">
      <c r="A17" s="43">
        <v>43157</v>
      </c>
      <c r="B17" s="43" t="s">
        <v>718</v>
      </c>
      <c r="C17" s="177">
        <v>150000</v>
      </c>
      <c r="D17" s="31"/>
      <c r="E17" s="31"/>
      <c r="F17" s="181">
        <v>43153</v>
      </c>
      <c r="G17" s="182">
        <v>300000</v>
      </c>
    </row>
    <row r="18" spans="1:7" ht="14.4">
      <c r="A18" s="43">
        <v>43157</v>
      </c>
      <c r="B18" s="43" t="s">
        <v>718</v>
      </c>
      <c r="C18" s="177">
        <v>330552.75</v>
      </c>
      <c r="D18" s="31"/>
      <c r="E18" s="31"/>
      <c r="F18" s="181">
        <v>43157</v>
      </c>
      <c r="G18" s="182">
        <v>643834.5</v>
      </c>
    </row>
    <row r="19" spans="1:7" ht="14.4">
      <c r="A19" s="43">
        <v>43157</v>
      </c>
      <c r="B19" s="43" t="s">
        <v>718</v>
      </c>
      <c r="C19" s="177">
        <v>163281.75</v>
      </c>
      <c r="D19" s="31"/>
      <c r="E19" s="31"/>
      <c r="F19" s="181">
        <v>43158</v>
      </c>
      <c r="G19" s="182">
        <v>564030</v>
      </c>
    </row>
    <row r="20" spans="1:7" ht="14.4">
      <c r="A20" s="43">
        <v>43158</v>
      </c>
      <c r="B20" s="43" t="s">
        <v>718</v>
      </c>
      <c r="C20" s="177">
        <v>564030</v>
      </c>
      <c r="D20" s="31"/>
      <c r="E20" s="31"/>
      <c r="F20" s="181">
        <v>43159</v>
      </c>
      <c r="G20" s="182">
        <v>720255.75</v>
      </c>
    </row>
    <row r="21" spans="1:7" ht="15.75" customHeight="1">
      <c r="A21" s="43">
        <v>43159</v>
      </c>
      <c r="B21" s="43" t="s">
        <v>718</v>
      </c>
      <c r="C21" s="177">
        <v>503598.75</v>
      </c>
      <c r="D21" s="31"/>
      <c r="E21" s="31"/>
      <c r="F21" s="181" t="s">
        <v>28</v>
      </c>
      <c r="G21" s="182">
        <v>3334776.75</v>
      </c>
    </row>
    <row r="22" spans="1:7" ht="15.75" customHeight="1">
      <c r="A22" s="43">
        <v>43159</v>
      </c>
      <c r="B22" s="43" t="s">
        <v>718</v>
      </c>
      <c r="C22" s="177">
        <v>15217.5</v>
      </c>
      <c r="D22" s="31"/>
      <c r="E22" s="31"/>
      <c r="F22" s="31"/>
      <c r="G22" s="178"/>
    </row>
    <row r="23" spans="1:7" ht="15.75" customHeight="1">
      <c r="A23" s="53">
        <v>43159</v>
      </c>
      <c r="B23" s="43" t="s">
        <v>718</v>
      </c>
      <c r="C23" s="177">
        <v>201439.5</v>
      </c>
      <c r="D23" s="31"/>
      <c r="E23" s="31"/>
      <c r="F23" s="31"/>
      <c r="G23" s="183"/>
    </row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F4:G4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000"/>
  <sheetViews>
    <sheetView workbookViewId="0"/>
  </sheetViews>
  <sheetFormatPr defaultColWidth="14.44140625" defaultRowHeight="15" customHeight="1"/>
  <cols>
    <col min="1" max="26" width="8" customWidth="1"/>
  </cols>
  <sheetData>
    <row r="1" spans="1:9" ht="18.75" customHeight="1">
      <c r="A1" s="300" t="s">
        <v>719</v>
      </c>
      <c r="B1" s="301"/>
      <c r="C1" s="301"/>
      <c r="D1" s="301"/>
      <c r="E1" s="301"/>
      <c r="F1" s="301"/>
      <c r="G1" s="301"/>
      <c r="H1" s="301"/>
      <c r="I1" s="301"/>
    </row>
    <row r="2" spans="1:9" ht="14.4">
      <c r="A2" s="303" t="s">
        <v>720</v>
      </c>
      <c r="B2" s="301"/>
      <c r="C2" s="301"/>
      <c r="D2" s="301"/>
      <c r="E2" s="301"/>
      <c r="F2" s="301"/>
      <c r="G2" s="301"/>
      <c r="H2" s="301"/>
      <c r="I2" s="301"/>
    </row>
    <row r="4" spans="1:9" ht="14.4">
      <c r="A4" s="160" t="s">
        <v>721</v>
      </c>
      <c r="B4" s="131" t="s">
        <v>716</v>
      </c>
      <c r="C4" s="131" t="s">
        <v>718</v>
      </c>
      <c r="D4" s="131" t="s">
        <v>722</v>
      </c>
      <c r="E4" s="131" t="s">
        <v>723</v>
      </c>
      <c r="F4" s="131" t="s">
        <v>724</v>
      </c>
      <c r="G4" s="131" t="s">
        <v>725</v>
      </c>
    </row>
    <row r="5" spans="1:9" ht="14.4">
      <c r="A5" s="160" t="s">
        <v>726</v>
      </c>
      <c r="B5" s="131">
        <v>240</v>
      </c>
      <c r="C5" s="131">
        <v>180</v>
      </c>
      <c r="D5" s="131">
        <v>310</v>
      </c>
      <c r="E5" s="131">
        <v>445</v>
      </c>
      <c r="F5" s="131">
        <v>650</v>
      </c>
      <c r="G5" s="131">
        <v>700</v>
      </c>
    </row>
    <row r="7" spans="1:9" ht="14.4">
      <c r="A7" s="160" t="s">
        <v>721</v>
      </c>
      <c r="B7" s="131" t="s">
        <v>723</v>
      </c>
      <c r="C7" s="31"/>
      <c r="D7" s="31"/>
    </row>
    <row r="8" spans="1:9" ht="14.4">
      <c r="A8" s="160" t="s">
        <v>726</v>
      </c>
      <c r="B8" s="6">
        <f>HLOOKUP(B7,A4:G5,2,0)</f>
        <v>445</v>
      </c>
      <c r="C8" s="31"/>
      <c r="D8" s="31"/>
    </row>
    <row r="11" spans="1:9" ht="14.4">
      <c r="A11" s="152" t="s">
        <v>169</v>
      </c>
      <c r="B11" s="153" t="s">
        <v>633</v>
      </c>
      <c r="C11" s="153" t="s">
        <v>727</v>
      </c>
      <c r="D11" s="153" t="s">
        <v>728</v>
      </c>
      <c r="E11" s="153" t="s">
        <v>729</v>
      </c>
      <c r="F11" s="153" t="s">
        <v>730</v>
      </c>
      <c r="G11" s="153" t="s">
        <v>731</v>
      </c>
    </row>
    <row r="12" spans="1:9" ht="14.4">
      <c r="A12" s="152" t="s">
        <v>732</v>
      </c>
      <c r="B12" s="153">
        <v>36</v>
      </c>
      <c r="C12" s="153">
        <v>45</v>
      </c>
      <c r="D12" s="153">
        <v>52</v>
      </c>
      <c r="E12" s="153">
        <v>66</v>
      </c>
      <c r="F12" s="153">
        <v>75</v>
      </c>
      <c r="G12" s="153">
        <v>40</v>
      </c>
    </row>
    <row r="13" spans="1:9" ht="14.4">
      <c r="A13" s="152" t="s">
        <v>733</v>
      </c>
      <c r="B13" s="153">
        <v>82</v>
      </c>
      <c r="C13" s="153">
        <v>71</v>
      </c>
      <c r="D13" s="153">
        <v>56</v>
      </c>
      <c r="E13" s="153">
        <v>32</v>
      </c>
      <c r="F13" s="153">
        <v>81</v>
      </c>
      <c r="G13" s="153">
        <v>66</v>
      </c>
    </row>
    <row r="14" spans="1:9" ht="14.4">
      <c r="A14" s="152" t="s">
        <v>185</v>
      </c>
      <c r="B14" s="153">
        <v>32</v>
      </c>
      <c r="C14" s="153">
        <v>45</v>
      </c>
      <c r="D14" s="153">
        <v>52</v>
      </c>
      <c r="E14" s="153">
        <v>51</v>
      </c>
      <c r="F14" s="153">
        <v>71</v>
      </c>
      <c r="G14" s="153">
        <v>74</v>
      </c>
    </row>
    <row r="17" spans="1:7" ht="14.4">
      <c r="A17" s="310" t="s">
        <v>734</v>
      </c>
      <c r="B17" s="308"/>
      <c r="C17" s="6">
        <f t="shared" ref="C17:G17" si="0">HLOOKUP(B19,A19:G22,3,0)</f>
        <v>82</v>
      </c>
      <c r="D17" s="6">
        <f t="shared" si="0"/>
        <v>71</v>
      </c>
      <c r="E17" s="6">
        <f t="shared" si="0"/>
        <v>56</v>
      </c>
      <c r="F17" s="6">
        <f t="shared" si="0"/>
        <v>32</v>
      </c>
      <c r="G17" s="6">
        <f t="shared" si="0"/>
        <v>81</v>
      </c>
    </row>
    <row r="19" spans="1:7" ht="14.4">
      <c r="A19" s="152" t="s">
        <v>169</v>
      </c>
      <c r="B19" s="153" t="s">
        <v>633</v>
      </c>
      <c r="C19" s="153" t="s">
        <v>727</v>
      </c>
      <c r="D19" s="153" t="s">
        <v>728</v>
      </c>
      <c r="E19" s="153" t="s">
        <v>729</v>
      </c>
      <c r="F19" s="153" t="s">
        <v>730</v>
      </c>
      <c r="G19" s="153" t="s">
        <v>731</v>
      </c>
    </row>
    <row r="20" spans="1:7" ht="14.4">
      <c r="A20" s="152" t="s">
        <v>732</v>
      </c>
      <c r="B20" s="153">
        <v>36</v>
      </c>
      <c r="C20" s="153">
        <v>45</v>
      </c>
      <c r="D20" s="153">
        <v>52</v>
      </c>
      <c r="E20" s="153">
        <v>66</v>
      </c>
      <c r="F20" s="153">
        <v>75</v>
      </c>
      <c r="G20" s="153">
        <v>40</v>
      </c>
    </row>
    <row r="21" spans="1:7" ht="15.75" customHeight="1">
      <c r="A21" s="152" t="s">
        <v>733</v>
      </c>
      <c r="B21" s="153">
        <v>82</v>
      </c>
      <c r="C21" s="153">
        <v>71</v>
      </c>
      <c r="D21" s="153">
        <v>56</v>
      </c>
      <c r="E21" s="153">
        <v>32</v>
      </c>
      <c r="F21" s="153">
        <v>81</v>
      </c>
      <c r="G21" s="153">
        <v>66</v>
      </c>
    </row>
    <row r="22" spans="1:7" ht="15.75" customHeight="1">
      <c r="A22" s="152" t="s">
        <v>185</v>
      </c>
      <c r="B22" s="153">
        <v>32</v>
      </c>
      <c r="C22" s="153">
        <v>45</v>
      </c>
      <c r="D22" s="153">
        <v>52</v>
      </c>
      <c r="E22" s="153">
        <v>51</v>
      </c>
      <c r="F22" s="153">
        <v>71</v>
      </c>
      <c r="G22" s="153">
        <v>74</v>
      </c>
    </row>
    <row r="23" spans="1:7" ht="15.75" customHeight="1"/>
    <row r="24" spans="1:7" ht="15.75" customHeight="1">
      <c r="A24" s="310" t="s">
        <v>735</v>
      </c>
      <c r="B24" s="308"/>
      <c r="C24" s="6"/>
    </row>
    <row r="25" spans="1:7" ht="15.75" customHeight="1"/>
    <row r="26" spans="1:7" ht="15.75" customHeight="1">
      <c r="A26" s="152" t="s">
        <v>736</v>
      </c>
      <c r="B26" s="153" t="s">
        <v>737</v>
      </c>
      <c r="C26" s="184" t="s">
        <v>738</v>
      </c>
      <c r="D26" s="184" t="s">
        <v>739</v>
      </c>
      <c r="E26" s="184" t="s">
        <v>740</v>
      </c>
      <c r="F26" s="184" t="s">
        <v>741</v>
      </c>
    </row>
    <row r="27" spans="1:7" ht="15.75" customHeight="1">
      <c r="A27" s="152" t="s">
        <v>742</v>
      </c>
      <c r="B27" s="6">
        <v>66</v>
      </c>
      <c r="C27" s="6">
        <v>43</v>
      </c>
      <c r="D27" s="6">
        <v>36</v>
      </c>
      <c r="E27" s="6">
        <v>82</v>
      </c>
      <c r="F27" s="6">
        <v>89</v>
      </c>
    </row>
    <row r="28" spans="1:7" ht="15.75" customHeight="1">
      <c r="A28" s="152" t="s">
        <v>743</v>
      </c>
      <c r="B28" s="6">
        <v>51</v>
      </c>
      <c r="C28" s="6">
        <v>83</v>
      </c>
      <c r="D28" s="6">
        <v>41</v>
      </c>
      <c r="E28" s="6">
        <v>125</v>
      </c>
      <c r="F28" s="6">
        <v>79</v>
      </c>
    </row>
    <row r="29" spans="1:7" ht="15.75" customHeight="1">
      <c r="A29" s="152" t="s">
        <v>744</v>
      </c>
      <c r="B29" s="6">
        <v>35</v>
      </c>
      <c r="C29" s="6">
        <v>97</v>
      </c>
      <c r="D29" s="6">
        <v>92</v>
      </c>
      <c r="E29" s="6">
        <v>41</v>
      </c>
      <c r="F29" s="6">
        <v>39</v>
      </c>
    </row>
    <row r="30" spans="1:7" ht="15.75" customHeight="1">
      <c r="A30" s="152" t="s">
        <v>745</v>
      </c>
      <c r="B30" s="6">
        <v>84</v>
      </c>
      <c r="C30" s="6">
        <v>76</v>
      </c>
      <c r="D30" s="6">
        <v>35</v>
      </c>
      <c r="E30" s="6">
        <v>48</v>
      </c>
      <c r="F30" s="6">
        <v>37</v>
      </c>
    </row>
    <row r="31" spans="1:7" ht="15.75" customHeight="1">
      <c r="A31" s="152" t="s">
        <v>746</v>
      </c>
      <c r="B31" s="6">
        <v>110</v>
      </c>
      <c r="C31" s="6">
        <v>77</v>
      </c>
      <c r="D31" s="6">
        <v>90</v>
      </c>
      <c r="E31" s="6">
        <v>37</v>
      </c>
      <c r="F31" s="6">
        <v>34</v>
      </c>
    </row>
    <row r="32" spans="1:7" ht="15.75" customHeight="1"/>
    <row r="33" spans="1:7" ht="15.75" customHeight="1">
      <c r="A33" s="152" t="s">
        <v>747</v>
      </c>
      <c r="B33" s="6" t="s">
        <v>740</v>
      </c>
    </row>
    <row r="34" spans="1:7" ht="15.75" customHeight="1">
      <c r="A34" s="155" t="s">
        <v>748</v>
      </c>
      <c r="B34" s="6" t="s">
        <v>516</v>
      </c>
      <c r="C34" s="7"/>
      <c r="D34" s="7"/>
    </row>
    <row r="35" spans="1:7" ht="15.75" customHeight="1"/>
    <row r="36" spans="1:7" ht="45" customHeight="1">
      <c r="A36" s="185" t="s">
        <v>749</v>
      </c>
      <c r="B36" s="186">
        <v>21</v>
      </c>
      <c r="C36" s="186">
        <v>33</v>
      </c>
      <c r="D36" s="186">
        <v>39</v>
      </c>
      <c r="E36" s="186">
        <v>42</v>
      </c>
      <c r="F36" s="186">
        <v>50</v>
      </c>
    </row>
    <row r="37" spans="1:7" ht="15.75" customHeight="1">
      <c r="A37" s="160" t="s">
        <v>750</v>
      </c>
      <c r="B37" s="131" t="s">
        <v>751</v>
      </c>
      <c r="C37" s="131" t="s">
        <v>555</v>
      </c>
      <c r="D37" s="131" t="s">
        <v>752</v>
      </c>
      <c r="E37" s="131" t="s">
        <v>562</v>
      </c>
      <c r="F37" s="131" t="s">
        <v>753</v>
      </c>
    </row>
    <row r="38" spans="1:7" ht="15.75" customHeight="1"/>
    <row r="39" spans="1:7" ht="15.75" customHeight="1">
      <c r="A39" s="152" t="s">
        <v>754</v>
      </c>
      <c r="B39" s="6">
        <v>40</v>
      </c>
    </row>
    <row r="40" spans="1:7" ht="15.75" customHeight="1">
      <c r="A40" s="155" t="s">
        <v>552</v>
      </c>
      <c r="B40" s="6" t="s">
        <v>516</v>
      </c>
      <c r="C40" s="31"/>
      <c r="D40" s="31"/>
    </row>
    <row r="41" spans="1:7" ht="15.75" customHeight="1"/>
    <row r="42" spans="1:7" ht="15.75" customHeight="1">
      <c r="A42" s="152" t="s">
        <v>755</v>
      </c>
      <c r="B42" s="6" t="s">
        <v>756</v>
      </c>
      <c r="C42" s="6" t="s">
        <v>757</v>
      </c>
      <c r="D42" s="6" t="s">
        <v>758</v>
      </c>
      <c r="E42" s="6" t="s">
        <v>759</v>
      </c>
      <c r="F42" s="6" t="s">
        <v>189</v>
      </c>
      <c r="G42" s="6" t="s">
        <v>760</v>
      </c>
    </row>
    <row r="43" spans="1:7" ht="15.75" customHeight="1">
      <c r="A43" s="152" t="s">
        <v>320</v>
      </c>
      <c r="B43" s="6">
        <v>200</v>
      </c>
      <c r="C43" s="6">
        <v>125</v>
      </c>
      <c r="D43" s="6">
        <v>320</v>
      </c>
      <c r="E43" s="6">
        <v>250</v>
      </c>
      <c r="F43" s="6">
        <v>300</v>
      </c>
      <c r="G43" s="6">
        <v>421</v>
      </c>
    </row>
    <row r="44" spans="1:7" ht="15.75" customHeight="1"/>
    <row r="45" spans="1:7" ht="15.75" customHeight="1">
      <c r="A45" s="152" t="s">
        <v>755</v>
      </c>
      <c r="B45" s="6" t="s">
        <v>761</v>
      </c>
    </row>
    <row r="46" spans="1:7" ht="15.75" customHeight="1">
      <c r="A46" s="155" t="s">
        <v>320</v>
      </c>
      <c r="B46" s="6" t="s">
        <v>516</v>
      </c>
    </row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17:B17"/>
    <mergeCell ref="A24:B24"/>
  </mergeCell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000"/>
  <sheetViews>
    <sheetView workbookViewId="0"/>
  </sheetViews>
  <sheetFormatPr defaultColWidth="14.44140625" defaultRowHeight="15" customHeight="1"/>
  <cols>
    <col min="1" max="1" width="17.88671875" customWidth="1"/>
    <col min="2" max="2" width="13.88671875" customWidth="1"/>
    <col min="3" max="3" width="12.44140625" customWidth="1"/>
    <col min="4" max="6" width="8" customWidth="1"/>
    <col min="7" max="7" width="14.88671875" customWidth="1"/>
    <col min="8" max="26" width="8" customWidth="1"/>
  </cols>
  <sheetData>
    <row r="1" spans="1:9" ht="18.75" customHeight="1">
      <c r="A1" s="300" t="s">
        <v>762</v>
      </c>
      <c r="B1" s="301"/>
      <c r="C1" s="301"/>
      <c r="D1" s="301"/>
      <c r="E1" s="301"/>
      <c r="F1" s="301"/>
      <c r="G1" s="14"/>
      <c r="H1" s="14"/>
      <c r="I1" s="14"/>
    </row>
    <row r="2" spans="1:9" ht="14.4">
      <c r="A2" s="303" t="s">
        <v>763</v>
      </c>
      <c r="B2" s="301"/>
      <c r="C2" s="301"/>
      <c r="D2" s="301"/>
      <c r="E2" s="301"/>
      <c r="F2" s="301"/>
      <c r="G2" s="11"/>
      <c r="H2" s="11"/>
      <c r="I2" s="11"/>
    </row>
    <row r="4" spans="1:9" ht="38.25" customHeight="1">
      <c r="A4" s="187" t="s">
        <v>169</v>
      </c>
      <c r="B4" s="188" t="s">
        <v>764</v>
      </c>
      <c r="C4" s="189" t="s">
        <v>765</v>
      </c>
      <c r="E4" s="322" t="s">
        <v>766</v>
      </c>
      <c r="F4" s="305"/>
    </row>
    <row r="5" spans="1:9" ht="14.4">
      <c r="A5" s="190" t="s">
        <v>767</v>
      </c>
      <c r="B5" s="131">
        <v>92</v>
      </c>
      <c r="C5" s="156">
        <f>IF(B5&lt;50,"F",IF(50&lt;B5&lt;60,"D",0))</f>
        <v>0</v>
      </c>
      <c r="E5" s="6" t="s">
        <v>768</v>
      </c>
      <c r="F5" s="6" t="s">
        <v>769</v>
      </c>
    </row>
    <row r="6" spans="1:9" ht="14.4">
      <c r="A6" s="190" t="s">
        <v>770</v>
      </c>
      <c r="B6" s="131">
        <v>88</v>
      </c>
      <c r="C6" s="156" t="str">
        <f t="shared" ref="C6:C13" si="0">IF(B6&lt;50,"F",IF(B6&lt;60,"D",IF(B6&lt;65,"D+",IF(B6&lt;70,"C",IF(B6&lt;75,"C+",IF(B6&lt;80,"B",IF(B6&lt;85,"B+",IF(B6&lt;90,"A","A+"))))))))</f>
        <v>A</v>
      </c>
      <c r="E6" s="6" t="s">
        <v>771</v>
      </c>
      <c r="F6" s="6" t="s">
        <v>31</v>
      </c>
    </row>
    <row r="7" spans="1:9" ht="14.4">
      <c r="A7" s="190" t="s">
        <v>772</v>
      </c>
      <c r="B7" s="131">
        <v>94</v>
      </c>
      <c r="C7" s="156" t="str">
        <f t="shared" si="0"/>
        <v>A+</v>
      </c>
      <c r="E7" s="6" t="s">
        <v>773</v>
      </c>
      <c r="F7" s="6" t="s">
        <v>774</v>
      </c>
    </row>
    <row r="8" spans="1:9" ht="14.4">
      <c r="A8" s="190" t="s">
        <v>775</v>
      </c>
      <c r="B8" s="131">
        <v>84</v>
      </c>
      <c r="C8" s="156" t="str">
        <f t="shared" si="0"/>
        <v>B+</v>
      </c>
      <c r="E8" s="6" t="s">
        <v>776</v>
      </c>
      <c r="F8" s="6" t="s">
        <v>777</v>
      </c>
    </row>
    <row r="9" spans="1:9" ht="14.4">
      <c r="A9" s="190" t="s">
        <v>778</v>
      </c>
      <c r="B9" s="131">
        <v>95</v>
      </c>
      <c r="C9" s="156" t="str">
        <f t="shared" si="0"/>
        <v>A+</v>
      </c>
      <c r="E9" s="6" t="s">
        <v>779</v>
      </c>
      <c r="F9" s="6" t="s">
        <v>780</v>
      </c>
    </row>
    <row r="10" spans="1:9" ht="14.4">
      <c r="A10" s="190" t="s">
        <v>781</v>
      </c>
      <c r="B10" s="131">
        <v>78</v>
      </c>
      <c r="C10" s="156" t="str">
        <f t="shared" si="0"/>
        <v>B</v>
      </c>
      <c r="E10" s="6" t="s">
        <v>782</v>
      </c>
      <c r="F10" s="6" t="s">
        <v>543</v>
      </c>
    </row>
    <row r="11" spans="1:9" ht="14.4">
      <c r="A11" s="190" t="s">
        <v>783</v>
      </c>
      <c r="B11" s="131">
        <v>59</v>
      </c>
      <c r="C11" s="156" t="str">
        <f t="shared" si="0"/>
        <v>D</v>
      </c>
      <c r="E11" s="6" t="s">
        <v>784</v>
      </c>
      <c r="F11" s="6" t="s">
        <v>785</v>
      </c>
    </row>
    <row r="12" spans="1:9" ht="14.4">
      <c r="A12" s="190" t="s">
        <v>786</v>
      </c>
      <c r="B12" s="131">
        <v>43</v>
      </c>
      <c r="C12" s="156" t="str">
        <f t="shared" si="0"/>
        <v>F</v>
      </c>
      <c r="E12" s="6" t="s">
        <v>787</v>
      </c>
      <c r="F12" s="6" t="s">
        <v>174</v>
      </c>
    </row>
    <row r="13" spans="1:9" ht="14.4">
      <c r="A13" s="191" t="s">
        <v>788</v>
      </c>
      <c r="B13" s="192">
        <v>90</v>
      </c>
      <c r="C13" s="193" t="str">
        <f t="shared" si="0"/>
        <v>A+</v>
      </c>
      <c r="E13" s="6" t="s">
        <v>789</v>
      </c>
      <c r="F13" s="6" t="s">
        <v>546</v>
      </c>
    </row>
    <row r="16" spans="1:9" ht="14.4">
      <c r="A16" s="161" t="s">
        <v>790</v>
      </c>
      <c r="B16" s="161" t="s">
        <v>713</v>
      </c>
      <c r="C16" s="161" t="s">
        <v>469</v>
      </c>
      <c r="D16" s="7"/>
      <c r="E16" s="7"/>
      <c r="F16" s="7"/>
      <c r="G16" s="7"/>
      <c r="H16" s="7"/>
      <c r="I16" s="7"/>
    </row>
    <row r="17" spans="1:9" ht="14.4">
      <c r="A17" s="6">
        <v>1</v>
      </c>
      <c r="B17" s="6" t="s">
        <v>716</v>
      </c>
      <c r="C17" s="177">
        <v>777307</v>
      </c>
      <c r="D17" s="7"/>
      <c r="E17" s="7"/>
      <c r="F17" s="7"/>
      <c r="G17" s="157" t="s">
        <v>791</v>
      </c>
      <c r="H17" s="6">
        <v>3</v>
      </c>
      <c r="I17" s="7"/>
    </row>
    <row r="18" spans="1:9" ht="14.4">
      <c r="A18" s="6">
        <v>2</v>
      </c>
      <c r="B18" s="6" t="s">
        <v>718</v>
      </c>
      <c r="C18" s="177">
        <v>590235</v>
      </c>
      <c r="D18" s="7"/>
      <c r="E18" s="7"/>
      <c r="F18" s="7"/>
      <c r="G18" s="157" t="s">
        <v>469</v>
      </c>
      <c r="H18" s="6" t="e">
        <f>VLOOKUP(H17,$A$2:$C$13,3,0)</f>
        <v>#N/A</v>
      </c>
      <c r="I18" s="7"/>
    </row>
    <row r="19" spans="1:9" ht="14.4">
      <c r="A19" s="6">
        <v>3</v>
      </c>
      <c r="B19" s="6" t="s">
        <v>722</v>
      </c>
      <c r="C19" s="177">
        <v>585683</v>
      </c>
      <c r="D19" s="7"/>
      <c r="E19" s="7"/>
      <c r="F19" s="7"/>
      <c r="G19" s="7"/>
      <c r="H19" s="7" t="s">
        <v>792</v>
      </c>
      <c r="I19" s="7"/>
    </row>
    <row r="20" spans="1:9" ht="14.4">
      <c r="A20" s="6">
        <v>4</v>
      </c>
      <c r="C20" s="177">
        <v>740995</v>
      </c>
      <c r="D20" s="7"/>
      <c r="E20" s="7"/>
      <c r="F20" s="7"/>
      <c r="G20" s="7"/>
      <c r="H20" s="7"/>
      <c r="I20" s="7"/>
    </row>
    <row r="21" spans="1:9" ht="15.75" customHeight="1">
      <c r="A21" s="6">
        <v>5</v>
      </c>
      <c r="C21" s="177">
        <v>756502</v>
      </c>
      <c r="D21" s="7"/>
      <c r="E21" s="7"/>
      <c r="F21" s="7"/>
      <c r="G21" s="7"/>
      <c r="H21" s="7"/>
      <c r="I21" s="7"/>
    </row>
    <row r="22" spans="1:9" ht="15.75" customHeight="1">
      <c r="A22" s="6">
        <v>6</v>
      </c>
      <c r="B22" s="6" t="s">
        <v>723</v>
      </c>
      <c r="C22" s="177">
        <v>626126</v>
      </c>
      <c r="D22" s="7"/>
      <c r="E22" s="7"/>
      <c r="F22" s="7"/>
      <c r="G22" s="7"/>
      <c r="H22" s="7"/>
      <c r="I22" s="7"/>
    </row>
    <row r="23" spans="1:9" ht="15.75" customHeight="1">
      <c r="A23" s="6">
        <v>7</v>
      </c>
      <c r="B23" s="6" t="s">
        <v>724</v>
      </c>
      <c r="C23" s="177">
        <v>668352</v>
      </c>
      <c r="D23" s="7"/>
      <c r="E23" s="7"/>
      <c r="F23" s="7"/>
      <c r="G23" s="7"/>
      <c r="H23" s="7"/>
      <c r="I23" s="7"/>
    </row>
    <row r="24" spans="1:9" ht="15.75" customHeight="1">
      <c r="A24" s="6">
        <v>8</v>
      </c>
      <c r="B24" s="6" t="s">
        <v>793</v>
      </c>
      <c r="C24" s="177">
        <v>698558</v>
      </c>
      <c r="D24" s="7"/>
      <c r="E24" s="7"/>
      <c r="F24" s="7"/>
      <c r="G24" s="7"/>
      <c r="H24" s="7"/>
      <c r="I24" s="7"/>
    </row>
    <row r="25" spans="1:9" ht="15.75" customHeight="1">
      <c r="A25" s="6">
        <v>9</v>
      </c>
      <c r="B25" s="6" t="s">
        <v>794</v>
      </c>
      <c r="C25" s="177">
        <v>562835</v>
      </c>
      <c r="D25" s="7"/>
      <c r="E25" s="7"/>
      <c r="F25" s="7"/>
      <c r="G25" s="7"/>
      <c r="H25" s="7"/>
      <c r="I25" s="7"/>
    </row>
    <row r="26" spans="1:9" ht="15.75" customHeight="1">
      <c r="A26" s="6">
        <v>10</v>
      </c>
      <c r="B26" s="6" t="s">
        <v>795</v>
      </c>
      <c r="C26" s="177">
        <v>564996</v>
      </c>
      <c r="D26" s="7"/>
      <c r="E26" s="7"/>
      <c r="F26" s="7"/>
      <c r="G26" s="7"/>
      <c r="H26" s="7"/>
      <c r="I26" s="7"/>
    </row>
    <row r="27" spans="1:9" ht="15.75" customHeight="1">
      <c r="A27" s="6">
        <v>11</v>
      </c>
      <c r="B27" s="6" t="s">
        <v>796</v>
      </c>
      <c r="C27" s="177">
        <v>632549</v>
      </c>
      <c r="D27" s="7"/>
      <c r="E27" s="7"/>
      <c r="F27" s="7"/>
      <c r="G27" s="7"/>
      <c r="H27" s="7"/>
      <c r="I27" s="7"/>
    </row>
    <row r="28" spans="1:9" ht="15.75" customHeight="1">
      <c r="A28" s="6">
        <v>12</v>
      </c>
      <c r="B28" s="6" t="s">
        <v>797</v>
      </c>
      <c r="C28" s="177">
        <v>702812</v>
      </c>
      <c r="D28" s="7"/>
      <c r="E28" s="7"/>
      <c r="F28" s="7"/>
      <c r="G28" s="7"/>
      <c r="H28" s="7"/>
      <c r="I28" s="7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E4:F4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FF00"/>
  </sheetPr>
  <dimension ref="A1:I1000"/>
  <sheetViews>
    <sheetView workbookViewId="0">
      <selection sqref="A1:I1"/>
    </sheetView>
  </sheetViews>
  <sheetFormatPr defaultColWidth="14.44140625" defaultRowHeight="15" customHeight="1"/>
  <cols>
    <col min="1" max="1" width="31.44140625" customWidth="1"/>
    <col min="2" max="2" width="8" customWidth="1"/>
    <col min="3" max="3" width="10.6640625" customWidth="1"/>
    <col min="4" max="26" width="8" customWidth="1"/>
  </cols>
  <sheetData>
    <row r="1" spans="1:9" ht="18.75" customHeight="1">
      <c r="A1" s="300" t="s">
        <v>798</v>
      </c>
      <c r="B1" s="301"/>
      <c r="C1" s="301"/>
      <c r="D1" s="301"/>
      <c r="E1" s="301"/>
      <c r="F1" s="301"/>
      <c r="G1" s="301"/>
      <c r="H1" s="301"/>
      <c r="I1" s="301"/>
    </row>
    <row r="2" spans="1:9" ht="14.4">
      <c r="A2" s="303" t="s">
        <v>799</v>
      </c>
      <c r="B2" s="301"/>
      <c r="C2" s="301"/>
      <c r="D2" s="301"/>
      <c r="E2" s="301"/>
      <c r="F2" s="301"/>
      <c r="G2" s="301"/>
      <c r="H2" s="301"/>
      <c r="I2" s="301"/>
    </row>
    <row r="4" spans="1:9" ht="14.4">
      <c r="A4" s="323" t="s">
        <v>800</v>
      </c>
      <c r="B4" s="308"/>
      <c r="C4" s="194"/>
      <c r="D4" s="194"/>
      <c r="E4" s="324" t="s">
        <v>801</v>
      </c>
      <c r="F4" s="308"/>
      <c r="G4" s="194"/>
      <c r="H4" s="324" t="s">
        <v>802</v>
      </c>
      <c r="I4" s="308"/>
    </row>
    <row r="5" spans="1:9" ht="14.4">
      <c r="A5" s="195" t="s">
        <v>470</v>
      </c>
      <c r="B5" s="195" t="s">
        <v>468</v>
      </c>
      <c r="C5" s="194"/>
      <c r="D5" s="194"/>
      <c r="E5" s="195" t="s">
        <v>470</v>
      </c>
      <c r="F5" s="195" t="s">
        <v>803</v>
      </c>
      <c r="G5" s="194"/>
      <c r="H5" s="195" t="s">
        <v>470</v>
      </c>
      <c r="I5" s="195" t="s">
        <v>469</v>
      </c>
    </row>
    <row r="6" spans="1:9" ht="14.4">
      <c r="A6" s="196" t="s">
        <v>472</v>
      </c>
      <c r="B6" s="196" t="s">
        <v>471</v>
      </c>
      <c r="C6" s="194"/>
      <c r="D6" s="194"/>
      <c r="E6" s="196" t="s">
        <v>472</v>
      </c>
      <c r="F6" s="196" t="s">
        <v>320</v>
      </c>
      <c r="G6" s="194"/>
      <c r="H6" s="196" t="s">
        <v>472</v>
      </c>
      <c r="I6" s="197">
        <v>92671</v>
      </c>
    </row>
    <row r="7" spans="1:9" ht="14.4">
      <c r="A7" s="196" t="s">
        <v>475</v>
      </c>
      <c r="B7" s="196" t="s">
        <v>473</v>
      </c>
      <c r="C7" s="194"/>
      <c r="D7" s="194"/>
      <c r="E7" s="196" t="s">
        <v>475</v>
      </c>
      <c r="F7" s="196" t="s">
        <v>474</v>
      </c>
      <c r="G7" s="194"/>
      <c r="H7" s="196" t="s">
        <v>475</v>
      </c>
      <c r="I7" s="197">
        <v>84120</v>
      </c>
    </row>
    <row r="8" spans="1:9" ht="14.4">
      <c r="A8" s="196" t="s">
        <v>477</v>
      </c>
      <c r="B8" s="196" t="s">
        <v>476</v>
      </c>
      <c r="C8" s="194"/>
      <c r="D8" s="194"/>
      <c r="E8" s="196" t="s">
        <v>477</v>
      </c>
      <c r="F8" s="196" t="s">
        <v>254</v>
      </c>
      <c r="G8" s="194"/>
      <c r="H8" s="196" t="s">
        <v>477</v>
      </c>
      <c r="I8" s="197">
        <v>50793</v>
      </c>
    </row>
    <row r="9" spans="1:9" ht="14.4">
      <c r="A9" s="196" t="s">
        <v>480</v>
      </c>
      <c r="B9" s="196" t="s">
        <v>478</v>
      </c>
      <c r="C9" s="194"/>
      <c r="D9" s="194"/>
      <c r="E9" s="196" t="s">
        <v>499</v>
      </c>
      <c r="F9" s="196" t="s">
        <v>254</v>
      </c>
      <c r="G9" s="194"/>
      <c r="H9" s="196" t="s">
        <v>480</v>
      </c>
      <c r="I9" s="197">
        <v>77833</v>
      </c>
    </row>
    <row r="10" spans="1:9" ht="14.4">
      <c r="A10" s="196" t="s">
        <v>482</v>
      </c>
      <c r="B10" s="196" t="s">
        <v>481</v>
      </c>
      <c r="C10" s="194"/>
      <c r="D10" s="194"/>
      <c r="E10" s="196" t="s">
        <v>501</v>
      </c>
      <c r="F10" s="196" t="s">
        <v>320</v>
      </c>
      <c r="G10" s="194"/>
      <c r="H10" s="196" t="s">
        <v>482</v>
      </c>
      <c r="I10" s="197">
        <v>58914</v>
      </c>
    </row>
    <row r="11" spans="1:9" ht="14.4">
      <c r="A11" s="196" t="s">
        <v>485</v>
      </c>
      <c r="B11" s="196" t="s">
        <v>483</v>
      </c>
      <c r="C11" s="194"/>
      <c r="D11" s="194"/>
      <c r="E11" s="196" t="s">
        <v>503</v>
      </c>
      <c r="F11" s="196" t="s">
        <v>484</v>
      </c>
      <c r="G11" s="194"/>
      <c r="H11" s="196" t="s">
        <v>485</v>
      </c>
      <c r="I11" s="197">
        <v>51096</v>
      </c>
    </row>
    <row r="12" spans="1:9" ht="14.4">
      <c r="A12" s="196" t="s">
        <v>487</v>
      </c>
      <c r="B12" s="196" t="s">
        <v>486</v>
      </c>
      <c r="C12" s="194"/>
      <c r="D12" s="194"/>
      <c r="E12" s="196" t="s">
        <v>505</v>
      </c>
      <c r="F12" s="196" t="s">
        <v>474</v>
      </c>
      <c r="G12" s="194"/>
      <c r="H12" s="196" t="s">
        <v>503</v>
      </c>
      <c r="I12" s="197">
        <v>88965</v>
      </c>
    </row>
    <row r="13" spans="1:9" ht="14.4">
      <c r="A13" s="196" t="s">
        <v>489</v>
      </c>
      <c r="B13" s="196" t="s">
        <v>488</v>
      </c>
      <c r="C13" s="194"/>
      <c r="D13" s="194"/>
      <c r="E13" s="196" t="s">
        <v>507</v>
      </c>
      <c r="F13" s="196" t="s">
        <v>320</v>
      </c>
      <c r="G13" s="194"/>
      <c r="H13" s="196" t="s">
        <v>505</v>
      </c>
      <c r="I13" s="197">
        <v>63288</v>
      </c>
    </row>
    <row r="14" spans="1:9" ht="14.4">
      <c r="A14" s="196" t="s">
        <v>491</v>
      </c>
      <c r="B14" s="196" t="s">
        <v>490</v>
      </c>
      <c r="C14" s="194"/>
      <c r="D14" s="194"/>
      <c r="E14" s="196" t="s">
        <v>511</v>
      </c>
      <c r="F14" s="196" t="s">
        <v>320</v>
      </c>
      <c r="G14" s="194"/>
      <c r="H14" s="196" t="s">
        <v>507</v>
      </c>
      <c r="I14" s="197">
        <v>45742</v>
      </c>
    </row>
    <row r="15" spans="1:9" ht="14.4">
      <c r="A15" s="196" t="s">
        <v>493</v>
      </c>
      <c r="B15" s="196" t="s">
        <v>492</v>
      </c>
      <c r="C15" s="194"/>
      <c r="D15" s="194"/>
      <c r="E15" s="196" t="s">
        <v>480</v>
      </c>
      <c r="G15" s="194"/>
      <c r="H15" s="196" t="s">
        <v>508</v>
      </c>
      <c r="I15" s="197">
        <v>88354</v>
      </c>
    </row>
    <row r="16" spans="1:9" ht="14.4">
      <c r="A16" s="196" t="s">
        <v>495</v>
      </c>
      <c r="B16" s="196" t="s">
        <v>494</v>
      </c>
      <c r="C16" s="194"/>
      <c r="D16" s="194"/>
      <c r="E16" s="196" t="s">
        <v>482</v>
      </c>
      <c r="F16" s="196" t="s">
        <v>265</v>
      </c>
      <c r="G16" s="196" t="s">
        <v>479</v>
      </c>
      <c r="H16" s="196" t="s">
        <v>510</v>
      </c>
      <c r="I16" s="197">
        <v>76641</v>
      </c>
    </row>
    <row r="17" spans="1:9" ht="14.4">
      <c r="A17" s="196" t="s">
        <v>497</v>
      </c>
      <c r="B17" s="196" t="s">
        <v>496</v>
      </c>
      <c r="C17" s="194"/>
      <c r="D17" s="194"/>
      <c r="E17" s="196" t="s">
        <v>485</v>
      </c>
      <c r="F17" s="196" t="s">
        <v>484</v>
      </c>
      <c r="G17" s="194"/>
      <c r="H17" s="196" t="s">
        <v>511</v>
      </c>
      <c r="I17" s="197">
        <v>61678</v>
      </c>
    </row>
    <row r="18" spans="1:9" ht="14.4">
      <c r="A18" s="196" t="s">
        <v>499</v>
      </c>
      <c r="B18" s="196" t="s">
        <v>498</v>
      </c>
      <c r="C18" s="194"/>
      <c r="D18" s="194"/>
      <c r="E18" s="196" t="s">
        <v>508</v>
      </c>
      <c r="F18" s="196" t="s">
        <v>254</v>
      </c>
      <c r="G18" s="194"/>
      <c r="H18" s="196" t="s">
        <v>487</v>
      </c>
      <c r="I18" s="197">
        <v>83735</v>
      </c>
    </row>
    <row r="19" spans="1:9" ht="14.4">
      <c r="A19" s="196" t="s">
        <v>501</v>
      </c>
      <c r="B19" s="196" t="s">
        <v>500</v>
      </c>
      <c r="C19" s="194"/>
      <c r="D19" s="194"/>
      <c r="E19" s="196" t="s">
        <v>510</v>
      </c>
      <c r="F19" s="196" t="s">
        <v>254</v>
      </c>
      <c r="G19" s="194"/>
      <c r="H19" s="196" t="s">
        <v>489</v>
      </c>
      <c r="I19" s="197">
        <v>74418</v>
      </c>
    </row>
    <row r="20" spans="1:9" ht="14.4">
      <c r="A20" s="196" t="s">
        <v>503</v>
      </c>
      <c r="B20" s="196" t="s">
        <v>502</v>
      </c>
      <c r="C20" s="194"/>
      <c r="D20" s="194"/>
      <c r="E20" s="196" t="s">
        <v>487</v>
      </c>
      <c r="F20" s="196" t="s">
        <v>254</v>
      </c>
      <c r="G20" s="194"/>
      <c r="H20" s="196" t="s">
        <v>491</v>
      </c>
      <c r="I20" s="197">
        <v>51366</v>
      </c>
    </row>
    <row r="21" spans="1:9" ht="15.75" customHeight="1">
      <c r="A21" s="196" t="s">
        <v>505</v>
      </c>
      <c r="B21" s="196" t="s">
        <v>504</v>
      </c>
      <c r="C21" s="194"/>
      <c r="D21" s="194"/>
      <c r="E21" s="196" t="s">
        <v>489</v>
      </c>
      <c r="F21" s="196" t="s">
        <v>484</v>
      </c>
      <c r="G21" s="194"/>
      <c r="H21" s="196" t="s">
        <v>493</v>
      </c>
      <c r="I21" s="197">
        <v>54600</v>
      </c>
    </row>
    <row r="22" spans="1:9" ht="15.75" customHeight="1">
      <c r="A22" s="196" t="s">
        <v>507</v>
      </c>
      <c r="B22" s="196" t="s">
        <v>506</v>
      </c>
      <c r="C22" s="194"/>
      <c r="D22" s="194"/>
      <c r="E22" s="196" t="s">
        <v>491</v>
      </c>
      <c r="F22" s="196" t="s">
        <v>320</v>
      </c>
      <c r="G22" s="194"/>
      <c r="H22" s="196" t="s">
        <v>495</v>
      </c>
      <c r="I22" s="197">
        <v>93509</v>
      </c>
    </row>
    <row r="23" spans="1:9" ht="15.75" customHeight="1">
      <c r="A23" s="196" t="s">
        <v>508</v>
      </c>
      <c r="B23" s="196" t="s">
        <v>191</v>
      </c>
      <c r="C23" s="194"/>
      <c r="D23" s="194"/>
      <c r="E23" s="196" t="s">
        <v>493</v>
      </c>
      <c r="F23" s="196" t="s">
        <v>265</v>
      </c>
      <c r="G23" s="194"/>
      <c r="H23" s="196" t="s">
        <v>497</v>
      </c>
      <c r="I23" s="197">
        <v>80105</v>
      </c>
    </row>
    <row r="24" spans="1:9" ht="15.75" customHeight="1">
      <c r="A24" s="196" t="s">
        <v>510</v>
      </c>
      <c r="B24" s="196" t="s">
        <v>509</v>
      </c>
      <c r="C24" s="194"/>
      <c r="D24" s="194"/>
      <c r="E24" s="196" t="s">
        <v>495</v>
      </c>
      <c r="F24" s="196" t="s">
        <v>474</v>
      </c>
      <c r="G24" s="194"/>
      <c r="H24" s="196" t="s">
        <v>499</v>
      </c>
      <c r="I24" s="197">
        <v>60802</v>
      </c>
    </row>
    <row r="25" spans="1:9" ht="15.75" customHeight="1">
      <c r="A25" s="196" t="s">
        <v>511</v>
      </c>
      <c r="B25" s="196" t="s">
        <v>223</v>
      </c>
      <c r="C25" s="194"/>
      <c r="D25" s="194"/>
      <c r="E25" s="196" t="s">
        <v>497</v>
      </c>
      <c r="F25" s="196" t="s">
        <v>265</v>
      </c>
      <c r="G25" s="194"/>
      <c r="H25" s="196" t="s">
        <v>501</v>
      </c>
      <c r="I25" s="197">
        <v>76260</v>
      </c>
    </row>
    <row r="26" spans="1:9" ht="15.75" customHeight="1">
      <c r="A26" s="194"/>
      <c r="B26" s="194"/>
      <c r="C26" s="194"/>
      <c r="D26" s="194"/>
      <c r="E26" s="194"/>
      <c r="F26" s="194"/>
      <c r="G26" s="194"/>
      <c r="H26" s="194"/>
      <c r="I26" s="194"/>
    </row>
    <row r="27" spans="1:9" ht="15.75" customHeight="1">
      <c r="A27" s="194"/>
      <c r="B27" s="194"/>
      <c r="C27" s="198" t="s">
        <v>804</v>
      </c>
      <c r="D27" s="194"/>
      <c r="E27" s="194"/>
      <c r="F27" s="194"/>
      <c r="G27" s="194"/>
      <c r="H27" s="194"/>
      <c r="I27" s="194"/>
    </row>
    <row r="28" spans="1:9" ht="15.75" customHeight="1">
      <c r="A28" s="195" t="s">
        <v>470</v>
      </c>
      <c r="B28" s="195" t="s">
        <v>468</v>
      </c>
      <c r="C28" s="195" t="s">
        <v>246</v>
      </c>
      <c r="D28" s="195" t="s">
        <v>469</v>
      </c>
      <c r="E28" s="194"/>
      <c r="F28" s="194"/>
      <c r="G28" s="194"/>
      <c r="H28" s="194"/>
      <c r="I28" s="194"/>
    </row>
    <row r="29" spans="1:9" ht="15.75" customHeight="1">
      <c r="A29" s="196" t="s">
        <v>472</v>
      </c>
      <c r="B29" s="196" t="s">
        <v>471</v>
      </c>
      <c r="C29" s="196" t="str">
        <f t="shared" ref="C29:C48" si="0">VLOOKUP(A29,$E$6:$F$25,2,0)</f>
        <v>Sales</v>
      </c>
      <c r="D29" s="197">
        <f t="shared" ref="D29:D48" si="1">VLOOKUP(A29,$H$6:$I$25,2,0)</f>
        <v>92671</v>
      </c>
      <c r="E29" s="194"/>
      <c r="F29" s="194"/>
      <c r="G29" s="194"/>
      <c r="H29" s="194"/>
      <c r="I29" s="194"/>
    </row>
    <row r="30" spans="1:9" ht="15.75" customHeight="1">
      <c r="A30" s="196" t="s">
        <v>475</v>
      </c>
      <c r="B30" s="196" t="s">
        <v>473</v>
      </c>
      <c r="C30" s="196" t="str">
        <f t="shared" si="0"/>
        <v>Operations</v>
      </c>
      <c r="D30" s="197">
        <f t="shared" si="1"/>
        <v>84120</v>
      </c>
      <c r="E30" s="194"/>
      <c r="F30" s="194"/>
      <c r="G30" s="194"/>
      <c r="H30" s="194"/>
      <c r="I30" s="194"/>
    </row>
    <row r="31" spans="1:9" ht="15.75" customHeight="1">
      <c r="A31" s="196" t="s">
        <v>477</v>
      </c>
      <c r="B31" s="196" t="s">
        <v>476</v>
      </c>
      <c r="C31" s="196" t="str">
        <f t="shared" si="0"/>
        <v>Marketing</v>
      </c>
      <c r="D31" s="197">
        <f t="shared" si="1"/>
        <v>50793</v>
      </c>
      <c r="E31" s="194"/>
      <c r="F31" s="194"/>
      <c r="G31" s="194"/>
      <c r="H31" s="194"/>
      <c r="I31" s="194"/>
    </row>
    <row r="32" spans="1:9" ht="15.75" customHeight="1">
      <c r="A32" s="196" t="s">
        <v>480</v>
      </c>
      <c r="B32" s="196" t="s">
        <v>478</v>
      </c>
      <c r="C32" s="196">
        <f t="shared" si="0"/>
        <v>0</v>
      </c>
      <c r="D32" s="197">
        <f t="shared" si="1"/>
        <v>77833</v>
      </c>
      <c r="E32" s="194"/>
      <c r="F32" s="194"/>
      <c r="G32" s="194"/>
      <c r="H32" s="194"/>
      <c r="I32" s="194"/>
    </row>
    <row r="33" spans="1:9" ht="15.75" customHeight="1">
      <c r="A33" s="196" t="s">
        <v>482</v>
      </c>
      <c r="B33" s="196" t="s">
        <v>481</v>
      </c>
      <c r="C33" s="196" t="str">
        <f t="shared" si="0"/>
        <v>Finance</v>
      </c>
      <c r="D33" s="197">
        <f t="shared" si="1"/>
        <v>58914</v>
      </c>
      <c r="E33" s="194"/>
      <c r="F33" s="194"/>
      <c r="G33" s="194"/>
      <c r="H33" s="194"/>
      <c r="I33" s="194"/>
    </row>
    <row r="34" spans="1:9" ht="15.75" customHeight="1">
      <c r="A34" s="196" t="s">
        <v>485</v>
      </c>
      <c r="B34" s="196" t="s">
        <v>483</v>
      </c>
      <c r="C34" s="196" t="str">
        <f t="shared" si="0"/>
        <v>IT</v>
      </c>
      <c r="D34" s="197">
        <f t="shared" si="1"/>
        <v>51096</v>
      </c>
      <c r="E34" s="194"/>
      <c r="F34" s="194"/>
      <c r="G34" s="194"/>
      <c r="H34" s="194"/>
      <c r="I34" s="194"/>
    </row>
    <row r="35" spans="1:9" ht="15.75" customHeight="1">
      <c r="A35" s="196" t="s">
        <v>487</v>
      </c>
      <c r="B35" s="196" t="s">
        <v>486</v>
      </c>
      <c r="C35" s="196" t="str">
        <f t="shared" si="0"/>
        <v>Marketing</v>
      </c>
      <c r="D35" s="197">
        <f t="shared" si="1"/>
        <v>83735</v>
      </c>
      <c r="E35" s="194"/>
      <c r="F35" s="194"/>
      <c r="G35" s="194"/>
      <c r="H35" s="194"/>
      <c r="I35" s="194"/>
    </row>
    <row r="36" spans="1:9" ht="15.75" customHeight="1">
      <c r="A36" s="196" t="s">
        <v>489</v>
      </c>
      <c r="B36" s="196" t="s">
        <v>488</v>
      </c>
      <c r="C36" s="196" t="str">
        <f t="shared" si="0"/>
        <v>IT</v>
      </c>
      <c r="D36" s="197">
        <f t="shared" si="1"/>
        <v>74418</v>
      </c>
      <c r="E36" s="194"/>
      <c r="F36" s="194"/>
      <c r="G36" s="194"/>
      <c r="H36" s="194"/>
      <c r="I36" s="194"/>
    </row>
    <row r="37" spans="1:9" ht="15.75" customHeight="1">
      <c r="A37" s="196" t="s">
        <v>491</v>
      </c>
      <c r="B37" s="196" t="s">
        <v>490</v>
      </c>
      <c r="C37" s="196" t="str">
        <f t="shared" si="0"/>
        <v>Sales</v>
      </c>
      <c r="D37" s="197">
        <f t="shared" si="1"/>
        <v>51366</v>
      </c>
      <c r="E37" s="194"/>
      <c r="F37" s="194"/>
      <c r="G37" s="194"/>
      <c r="H37" s="194"/>
      <c r="I37" s="194"/>
    </row>
    <row r="38" spans="1:9" ht="15.75" customHeight="1">
      <c r="A38" s="196" t="s">
        <v>493</v>
      </c>
      <c r="B38" s="196" t="s">
        <v>492</v>
      </c>
      <c r="C38" s="196" t="str">
        <f t="shared" si="0"/>
        <v>Finance</v>
      </c>
      <c r="D38" s="197">
        <f t="shared" si="1"/>
        <v>54600</v>
      </c>
      <c r="E38" s="194"/>
      <c r="F38" s="194"/>
      <c r="G38" s="194"/>
      <c r="H38" s="194"/>
      <c r="I38" s="194"/>
    </row>
    <row r="39" spans="1:9" ht="15.75" customHeight="1">
      <c r="A39" s="196" t="s">
        <v>495</v>
      </c>
      <c r="B39" s="196" t="s">
        <v>494</v>
      </c>
      <c r="C39" s="196" t="str">
        <f t="shared" si="0"/>
        <v>Operations</v>
      </c>
      <c r="D39" s="197">
        <f t="shared" si="1"/>
        <v>93509</v>
      </c>
      <c r="E39" s="194"/>
      <c r="F39" s="194"/>
      <c r="G39" s="194"/>
      <c r="H39" s="194"/>
      <c r="I39" s="194"/>
    </row>
    <row r="40" spans="1:9" ht="15.75" customHeight="1">
      <c r="A40" s="196" t="s">
        <v>497</v>
      </c>
      <c r="B40" s="196" t="s">
        <v>496</v>
      </c>
      <c r="C40" s="196" t="str">
        <f t="shared" si="0"/>
        <v>Finance</v>
      </c>
      <c r="D40" s="197">
        <f t="shared" si="1"/>
        <v>80105</v>
      </c>
      <c r="E40" s="194"/>
      <c r="F40" s="194"/>
      <c r="G40" s="194"/>
      <c r="H40" s="194"/>
      <c r="I40" s="194"/>
    </row>
    <row r="41" spans="1:9" ht="15.75" customHeight="1">
      <c r="A41" s="196" t="s">
        <v>499</v>
      </c>
      <c r="B41" s="196" t="s">
        <v>498</v>
      </c>
      <c r="C41" s="196" t="str">
        <f t="shared" si="0"/>
        <v>Marketing</v>
      </c>
      <c r="D41" s="197">
        <f t="shared" si="1"/>
        <v>60802</v>
      </c>
      <c r="E41" s="194"/>
      <c r="F41" s="194"/>
      <c r="G41" s="194"/>
      <c r="H41" s="194"/>
      <c r="I41" s="194"/>
    </row>
    <row r="42" spans="1:9" ht="15.75" customHeight="1">
      <c r="A42" s="196" t="s">
        <v>501</v>
      </c>
      <c r="B42" s="196" t="s">
        <v>500</v>
      </c>
      <c r="C42" s="196" t="str">
        <f t="shared" si="0"/>
        <v>Sales</v>
      </c>
      <c r="D42" s="197">
        <f t="shared" si="1"/>
        <v>76260</v>
      </c>
      <c r="E42" s="194"/>
      <c r="F42" s="194"/>
      <c r="G42" s="194"/>
      <c r="H42" s="194"/>
      <c r="I42" s="194"/>
    </row>
    <row r="43" spans="1:9" ht="15.75" customHeight="1">
      <c r="A43" s="196" t="s">
        <v>503</v>
      </c>
      <c r="B43" s="196" t="s">
        <v>502</v>
      </c>
      <c r="C43" s="196" t="str">
        <f t="shared" si="0"/>
        <v>IT</v>
      </c>
      <c r="D43" s="197">
        <f t="shared" si="1"/>
        <v>88965</v>
      </c>
      <c r="E43" s="194"/>
      <c r="F43" s="194"/>
      <c r="G43" s="194"/>
      <c r="H43" s="194"/>
      <c r="I43" s="194"/>
    </row>
    <row r="44" spans="1:9" ht="15.75" customHeight="1">
      <c r="A44" s="196" t="s">
        <v>505</v>
      </c>
      <c r="B44" s="196" t="s">
        <v>504</v>
      </c>
      <c r="C44" s="196" t="str">
        <f t="shared" si="0"/>
        <v>Operations</v>
      </c>
      <c r="D44" s="197">
        <f t="shared" si="1"/>
        <v>63288</v>
      </c>
      <c r="E44" s="194"/>
      <c r="F44" s="194"/>
      <c r="G44" s="194"/>
      <c r="H44" s="194"/>
      <c r="I44" s="194"/>
    </row>
    <row r="45" spans="1:9" ht="15.75" customHeight="1">
      <c r="A45" s="196" t="s">
        <v>507</v>
      </c>
      <c r="B45" s="196" t="s">
        <v>506</v>
      </c>
      <c r="C45" s="196" t="str">
        <f t="shared" si="0"/>
        <v>Sales</v>
      </c>
      <c r="D45" s="197">
        <f t="shared" si="1"/>
        <v>45742</v>
      </c>
      <c r="E45" s="194"/>
      <c r="F45" s="194"/>
      <c r="G45" s="194"/>
      <c r="H45" s="194"/>
      <c r="I45" s="194"/>
    </row>
    <row r="46" spans="1:9" ht="15.75" customHeight="1">
      <c r="A46" s="196" t="s">
        <v>508</v>
      </c>
      <c r="B46" s="196" t="s">
        <v>191</v>
      </c>
      <c r="C46" s="196" t="str">
        <f t="shared" si="0"/>
        <v>Marketing</v>
      </c>
      <c r="D46" s="197">
        <f t="shared" si="1"/>
        <v>88354</v>
      </c>
      <c r="E46" s="194"/>
      <c r="F46" s="194"/>
      <c r="G46" s="194"/>
      <c r="H46" s="194"/>
      <c r="I46" s="194"/>
    </row>
    <row r="47" spans="1:9" ht="15.75" customHeight="1">
      <c r="A47" s="196" t="s">
        <v>510</v>
      </c>
      <c r="B47" s="196" t="s">
        <v>509</v>
      </c>
      <c r="C47" s="196" t="str">
        <f t="shared" si="0"/>
        <v>Marketing</v>
      </c>
      <c r="D47" s="197">
        <f t="shared" si="1"/>
        <v>76641</v>
      </c>
      <c r="E47" s="194"/>
      <c r="F47" s="194"/>
      <c r="G47" s="194"/>
      <c r="H47" s="194"/>
      <c r="I47" s="194"/>
    </row>
    <row r="48" spans="1:9" ht="15.75" customHeight="1">
      <c r="A48" s="196" t="s">
        <v>511</v>
      </c>
      <c r="B48" s="196" t="s">
        <v>223</v>
      </c>
      <c r="C48" s="196" t="str">
        <f t="shared" si="0"/>
        <v>Sales</v>
      </c>
      <c r="D48" s="197">
        <f t="shared" si="1"/>
        <v>61678</v>
      </c>
      <c r="E48" s="194"/>
      <c r="F48" s="194"/>
      <c r="G48" s="194"/>
      <c r="H48" s="194"/>
      <c r="I48" s="19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4:B4"/>
    <mergeCell ref="E4:F4"/>
    <mergeCell ref="H4:I4"/>
  </mergeCell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000"/>
  <sheetViews>
    <sheetView workbookViewId="0">
      <selection sqref="A1:I1"/>
    </sheetView>
  </sheetViews>
  <sheetFormatPr defaultColWidth="14.44140625" defaultRowHeight="15" customHeight="1"/>
  <cols>
    <col min="1" max="1" width="8" customWidth="1"/>
    <col min="2" max="2" width="12.6640625" customWidth="1"/>
    <col min="3" max="3" width="13.5546875" customWidth="1"/>
    <col min="4" max="26" width="8" customWidth="1"/>
  </cols>
  <sheetData>
    <row r="1" spans="1:9" ht="18.75" customHeight="1">
      <c r="A1" s="300" t="s">
        <v>805</v>
      </c>
      <c r="B1" s="301"/>
      <c r="C1" s="301"/>
      <c r="D1" s="301"/>
      <c r="E1" s="301"/>
      <c r="F1" s="301"/>
      <c r="G1" s="301"/>
      <c r="H1" s="301"/>
      <c r="I1" s="301"/>
    </row>
    <row r="2" spans="1:9" ht="14.4">
      <c r="A2" s="303" t="s">
        <v>34</v>
      </c>
      <c r="B2" s="301"/>
      <c r="C2" s="301"/>
      <c r="D2" s="301"/>
      <c r="E2" s="301"/>
      <c r="F2" s="301"/>
      <c r="G2" s="301"/>
      <c r="H2" s="301"/>
      <c r="I2" s="301"/>
    </row>
    <row r="4" spans="1:9" ht="14.4">
      <c r="A4" s="152" t="s">
        <v>806</v>
      </c>
      <c r="B4" s="152" t="s">
        <v>807</v>
      </c>
      <c r="C4" s="152" t="s">
        <v>808</v>
      </c>
    </row>
    <row r="5" spans="1:9" ht="14.4">
      <c r="A5" s="6" t="s">
        <v>809</v>
      </c>
      <c r="B5" s="6" t="s">
        <v>810</v>
      </c>
      <c r="C5" s="6">
        <f>6960-2345</f>
        <v>4615</v>
      </c>
    </row>
    <row r="6" spans="1:9" ht="14.4">
      <c r="A6" s="6" t="s">
        <v>811</v>
      </c>
      <c r="B6" s="6" t="s">
        <v>812</v>
      </c>
      <c r="C6" s="6">
        <v>2345</v>
      </c>
    </row>
    <row r="7" spans="1:9" ht="14.4">
      <c r="A7" s="6" t="s">
        <v>809</v>
      </c>
      <c r="B7" s="6" t="s">
        <v>813</v>
      </c>
      <c r="C7" s="6">
        <v>11282</v>
      </c>
    </row>
    <row r="8" spans="1:9" ht="14.4">
      <c r="A8" s="6" t="s">
        <v>811</v>
      </c>
      <c r="B8" s="6" t="s">
        <v>814</v>
      </c>
      <c r="C8" s="6">
        <v>4159</v>
      </c>
    </row>
    <row r="9" spans="1:9" ht="14.4">
      <c r="A9" s="6" t="s">
        <v>815</v>
      </c>
      <c r="B9" s="6" t="s">
        <v>816</v>
      </c>
      <c r="C9" s="6">
        <v>7802</v>
      </c>
    </row>
    <row r="10" spans="1:9" ht="14.4">
      <c r="A10" s="6" t="s">
        <v>809</v>
      </c>
      <c r="B10" s="6" t="s">
        <v>817</v>
      </c>
      <c r="C10" s="6">
        <v>8486</v>
      </c>
    </row>
    <row r="11" spans="1:9" ht="14.4">
      <c r="A11" s="6" t="s">
        <v>811</v>
      </c>
      <c r="B11" s="6" t="s">
        <v>818</v>
      </c>
      <c r="C11" s="6">
        <v>3384</v>
      </c>
    </row>
    <row r="12" spans="1:9" ht="14.4">
      <c r="A12" s="6" t="s">
        <v>815</v>
      </c>
      <c r="B12" s="6" t="s">
        <v>819</v>
      </c>
      <c r="C12" s="6">
        <v>3422</v>
      </c>
    </row>
    <row r="14" spans="1:9" ht="14.4">
      <c r="A14" s="325" t="s">
        <v>820</v>
      </c>
      <c r="B14" s="326"/>
      <c r="C14" s="329">
        <f>SUMIF(A5:A12,"Ben",C5:C12)</f>
        <v>24383</v>
      </c>
      <c r="E14" s="325" t="s">
        <v>821</v>
      </c>
      <c r="F14" s="326"/>
      <c r="G14" s="331">
        <f>SUMIF(A5:A12,A7,C5:C12)</f>
        <v>24383</v>
      </c>
    </row>
    <row r="15" spans="1:9" ht="14.4">
      <c r="A15" s="327"/>
      <c r="B15" s="328"/>
      <c r="C15" s="330"/>
      <c r="E15" s="327"/>
      <c r="F15" s="328"/>
      <c r="G15" s="330"/>
    </row>
    <row r="16" spans="1:9" ht="14.4">
      <c r="G16" s="331">
        <f>SUMIF(A7:A14,A9,C7:C14)</f>
        <v>11224</v>
      </c>
    </row>
    <row r="17" spans="1:7" ht="14.4">
      <c r="A17" s="325" t="s">
        <v>822</v>
      </c>
      <c r="B17" s="326"/>
      <c r="C17" s="329">
        <f>SUMIF(A5:A12,"Ben",C5:C12)+SUMIF(A5:A12,"Jenny",C5:C12)</f>
        <v>35607</v>
      </c>
      <c r="E17" s="332" t="s">
        <v>822</v>
      </c>
      <c r="F17" s="326"/>
      <c r="G17" s="330"/>
    </row>
    <row r="18" spans="1:7" ht="14.4">
      <c r="A18" s="327"/>
      <c r="B18" s="328"/>
      <c r="C18" s="330"/>
      <c r="E18" s="327"/>
      <c r="F18" s="328"/>
      <c r="G18" s="331">
        <f>SUMIF(A9:A16,A11,C9:C16)</f>
        <v>3384</v>
      </c>
    </row>
    <row r="19" spans="1:7" ht="14.4">
      <c r="A19" s="5" t="s">
        <v>823</v>
      </c>
      <c r="G19" s="330"/>
    </row>
    <row r="21" spans="1:7" ht="15.75" customHeight="1">
      <c r="A21" s="152" t="s">
        <v>806</v>
      </c>
      <c r="B21" s="152" t="s">
        <v>807</v>
      </c>
      <c r="C21" s="152" t="s">
        <v>808</v>
      </c>
    </row>
    <row r="22" spans="1:7" ht="15.75" customHeight="1">
      <c r="A22" s="6" t="s">
        <v>809</v>
      </c>
      <c r="B22" s="6" t="s">
        <v>810</v>
      </c>
      <c r="C22" s="6">
        <f>6960-2345</f>
        <v>4615</v>
      </c>
    </row>
    <row r="23" spans="1:7" ht="15.75" customHeight="1">
      <c r="A23" s="6" t="s">
        <v>811</v>
      </c>
      <c r="B23" s="6" t="s">
        <v>812</v>
      </c>
      <c r="C23" s="6">
        <v>2345</v>
      </c>
    </row>
    <row r="24" spans="1:7" ht="15.75" customHeight="1">
      <c r="A24" s="6" t="s">
        <v>809</v>
      </c>
      <c r="B24" s="6" t="s">
        <v>813</v>
      </c>
      <c r="C24" s="6">
        <v>11282</v>
      </c>
    </row>
    <row r="25" spans="1:7" ht="15.75" customHeight="1">
      <c r="A25" s="6" t="s">
        <v>811</v>
      </c>
      <c r="B25" s="6" t="s">
        <v>814</v>
      </c>
      <c r="C25" s="6">
        <v>4159</v>
      </c>
    </row>
    <row r="26" spans="1:7" ht="15.75" customHeight="1">
      <c r="A26" s="6" t="s">
        <v>815</v>
      </c>
      <c r="B26" s="6" t="s">
        <v>816</v>
      </c>
      <c r="C26" s="6">
        <v>7802</v>
      </c>
    </row>
    <row r="27" spans="1:7" ht="15.75" customHeight="1">
      <c r="A27" s="6" t="s">
        <v>809</v>
      </c>
      <c r="B27" s="6" t="s">
        <v>817</v>
      </c>
      <c r="C27" s="6">
        <v>8486</v>
      </c>
    </row>
    <row r="28" spans="1:7" ht="15.75" customHeight="1">
      <c r="A28" s="6" t="s">
        <v>811</v>
      </c>
      <c r="B28" s="6" t="s">
        <v>818</v>
      </c>
      <c r="C28" s="6">
        <v>3384</v>
      </c>
    </row>
    <row r="29" spans="1:7" ht="15.75" customHeight="1">
      <c r="A29" s="6" t="s">
        <v>815</v>
      </c>
      <c r="B29" s="6" t="s">
        <v>819</v>
      </c>
      <c r="C29" s="6">
        <v>3422</v>
      </c>
    </row>
    <row r="30" spans="1:7" ht="15.75" customHeight="1"/>
    <row r="31" spans="1:7" ht="15.75" customHeight="1">
      <c r="A31" s="325" t="s">
        <v>822</v>
      </c>
      <c r="B31" s="326"/>
      <c r="C31" s="329">
        <f>SUMIF(A22:A29,"Ben",C22:C29)+SUMIF(A22:A29,"Jenny",C22:C29)</f>
        <v>35607</v>
      </c>
      <c r="E31" s="325" t="s">
        <v>824</v>
      </c>
      <c r="F31" s="326"/>
      <c r="G31" s="331"/>
    </row>
    <row r="32" spans="1:7" ht="15.75" customHeight="1">
      <c r="A32" s="327"/>
      <c r="B32" s="328"/>
      <c r="C32" s="330"/>
      <c r="E32" s="327"/>
      <c r="F32" s="328"/>
      <c r="G32" s="330"/>
    </row>
    <row r="33" spans="1:1" ht="15.75" customHeight="1"/>
    <row r="34" spans="1:1" ht="15.75" customHeight="1">
      <c r="A34" s="5" t="s">
        <v>823</v>
      </c>
    </row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7:B18"/>
    <mergeCell ref="C17:C18"/>
    <mergeCell ref="E17:F18"/>
    <mergeCell ref="G18:G19"/>
    <mergeCell ref="A31:B32"/>
    <mergeCell ref="C31:C32"/>
    <mergeCell ref="E31:F32"/>
    <mergeCell ref="G31:G32"/>
    <mergeCell ref="G16:G17"/>
    <mergeCell ref="A1:I1"/>
    <mergeCell ref="A2:I2"/>
    <mergeCell ref="A14:B15"/>
    <mergeCell ref="C14:C15"/>
    <mergeCell ref="E14:F15"/>
    <mergeCell ref="G14:G15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000"/>
  <sheetViews>
    <sheetView workbookViewId="0"/>
  </sheetViews>
  <sheetFormatPr defaultColWidth="14.44140625" defaultRowHeight="15" customHeight="1"/>
  <cols>
    <col min="1" max="26" width="8" customWidth="1"/>
  </cols>
  <sheetData>
    <row r="1" spans="1:9" ht="18.75" customHeight="1">
      <c r="A1" s="300" t="s">
        <v>825</v>
      </c>
      <c r="B1" s="301"/>
      <c r="C1" s="301"/>
      <c r="D1" s="301"/>
      <c r="E1" s="301"/>
      <c r="F1" s="301"/>
      <c r="G1" s="301"/>
      <c r="H1" s="301"/>
      <c r="I1" s="301"/>
    </row>
    <row r="2" spans="1:9" ht="14.4">
      <c r="A2" s="303" t="s">
        <v>826</v>
      </c>
      <c r="B2" s="301"/>
      <c r="C2" s="301"/>
      <c r="D2" s="301"/>
      <c r="E2" s="301"/>
      <c r="F2" s="301"/>
      <c r="G2" s="301"/>
      <c r="H2" s="301"/>
      <c r="I2" s="301"/>
    </row>
    <row r="4" spans="1:9" ht="14.4">
      <c r="A4" s="152" t="s">
        <v>63</v>
      </c>
      <c r="B4" s="152" t="s">
        <v>827</v>
      </c>
      <c r="C4" s="152" t="s">
        <v>828</v>
      </c>
      <c r="E4" s="5">
        <f>SUMPRODUCT(C5:C9,B5:B9)</f>
        <v>799</v>
      </c>
    </row>
    <row r="5" spans="1:9" ht="14.4">
      <c r="A5" s="6" t="s">
        <v>829</v>
      </c>
      <c r="B5" s="6">
        <v>20</v>
      </c>
      <c r="C5" s="6">
        <v>10</v>
      </c>
    </row>
    <row r="6" spans="1:9" ht="14.4">
      <c r="A6" s="6" t="s">
        <v>830</v>
      </c>
      <c r="B6" s="6">
        <v>15</v>
      </c>
      <c r="C6" s="6">
        <v>20</v>
      </c>
    </row>
    <row r="7" spans="1:9" ht="14.4">
      <c r="A7" s="6" t="s">
        <v>831</v>
      </c>
      <c r="B7" s="6">
        <v>5</v>
      </c>
      <c r="C7" s="6">
        <v>35</v>
      </c>
    </row>
    <row r="8" spans="1:9" ht="14.4">
      <c r="A8" s="6" t="s">
        <v>832</v>
      </c>
      <c r="B8" s="6">
        <v>10</v>
      </c>
      <c r="C8" s="6">
        <v>6</v>
      </c>
    </row>
    <row r="9" spans="1:9" ht="14.4">
      <c r="A9" s="6" t="s">
        <v>833</v>
      </c>
      <c r="B9" s="6">
        <v>8</v>
      </c>
      <c r="C9" s="6">
        <v>8</v>
      </c>
    </row>
    <row r="10" spans="1:9" ht="14.4">
      <c r="A10" s="7"/>
      <c r="B10" s="4" t="s">
        <v>834</v>
      </c>
      <c r="C10" s="199">
        <f>SUMPRODUCT(B5:B9,C5:C9)</f>
        <v>799</v>
      </c>
      <c r="E10" s="11" t="s">
        <v>835</v>
      </c>
    </row>
    <row r="12" spans="1:9" ht="14.4">
      <c r="C12" s="11" t="s">
        <v>836</v>
      </c>
      <c r="E12" s="11" t="s">
        <v>837</v>
      </c>
    </row>
    <row r="13" spans="1:9" ht="14.4">
      <c r="C13" s="11"/>
      <c r="E13" s="11"/>
    </row>
    <row r="14" spans="1:9" ht="14.4">
      <c r="A14" s="333" t="s">
        <v>800</v>
      </c>
      <c r="B14" s="308"/>
      <c r="D14" s="333" t="s">
        <v>801</v>
      </c>
      <c r="E14" s="308"/>
    </row>
    <row r="15" spans="1:9" ht="14.4">
      <c r="A15" s="160" t="s">
        <v>838</v>
      </c>
      <c r="B15" s="160" t="s">
        <v>839</v>
      </c>
      <c r="D15" s="160" t="s">
        <v>838</v>
      </c>
      <c r="E15" s="160" t="s">
        <v>839</v>
      </c>
    </row>
    <row r="16" spans="1:9" ht="14.4">
      <c r="A16" s="200">
        <v>415930</v>
      </c>
      <c r="B16" s="200" t="s">
        <v>840</v>
      </c>
      <c r="C16" s="31"/>
      <c r="D16" s="201">
        <v>415930</v>
      </c>
      <c r="E16" s="202" t="str">
        <f>VLOOKUP(D16,$A$3:$B$23,2,0)</f>
        <v>U_362</v>
      </c>
    </row>
    <row r="17" spans="1:5" ht="14.4">
      <c r="A17" s="200">
        <v>100847</v>
      </c>
      <c r="B17" s="200" t="s">
        <v>841</v>
      </c>
      <c r="C17" s="31"/>
      <c r="D17" s="201">
        <v>100847</v>
      </c>
      <c r="E17" s="202" t="str">
        <f t="shared" ref="E17:E35" si="0">VLOOKUP(D17,A16:B35,2,0)</f>
        <v>Z_143</v>
      </c>
    </row>
    <row r="18" spans="1:5" ht="14.4">
      <c r="A18" s="200">
        <v>592629</v>
      </c>
      <c r="B18" s="200" t="s">
        <v>842</v>
      </c>
      <c r="C18" s="31"/>
      <c r="D18" s="201">
        <v>592629</v>
      </c>
      <c r="E18" s="202" t="str">
        <f t="shared" si="0"/>
        <v>F_103</v>
      </c>
    </row>
    <row r="19" spans="1:5" ht="14.4">
      <c r="A19" s="200">
        <v>26531</v>
      </c>
      <c r="B19" s="200" t="s">
        <v>843</v>
      </c>
      <c r="C19" s="31"/>
      <c r="D19" s="201">
        <v>26531</v>
      </c>
      <c r="E19" s="202" t="str">
        <f t="shared" si="0"/>
        <v>N_148</v>
      </c>
    </row>
    <row r="20" spans="1:5" ht="14.4">
      <c r="A20" s="200">
        <v>333812</v>
      </c>
      <c r="B20" s="200" t="s">
        <v>844</v>
      </c>
      <c r="C20" s="31"/>
      <c r="D20" s="201">
        <v>333812</v>
      </c>
      <c r="E20" s="202" t="str">
        <f t="shared" si="0"/>
        <v>L_120</v>
      </c>
    </row>
    <row r="21" spans="1:5" ht="15.75" customHeight="1">
      <c r="A21" s="200">
        <v>261178</v>
      </c>
      <c r="B21" s="200" t="s">
        <v>845</v>
      </c>
      <c r="C21" s="31"/>
      <c r="D21" s="201">
        <v>261178</v>
      </c>
      <c r="E21" s="202" t="str">
        <f t="shared" si="0"/>
        <v>G_455</v>
      </c>
    </row>
    <row r="22" spans="1:5" ht="15.75" customHeight="1">
      <c r="A22" s="200">
        <v>131380</v>
      </c>
      <c r="B22" s="200" t="s">
        <v>846</v>
      </c>
      <c r="C22" s="31"/>
      <c r="D22" s="201">
        <v>131380</v>
      </c>
      <c r="E22" s="202" t="str">
        <f t="shared" si="0"/>
        <v>E_195</v>
      </c>
    </row>
    <row r="23" spans="1:5" ht="15.75" customHeight="1">
      <c r="A23" s="200">
        <v>568870</v>
      </c>
      <c r="B23" s="200" t="s">
        <v>847</v>
      </c>
      <c r="C23" s="31"/>
      <c r="D23" s="201">
        <v>568870</v>
      </c>
      <c r="E23" s="202" t="str">
        <f t="shared" si="0"/>
        <v>E_41</v>
      </c>
    </row>
    <row r="24" spans="1:5" ht="15.75" customHeight="1">
      <c r="A24" s="200">
        <v>357335</v>
      </c>
      <c r="B24" s="200" t="s">
        <v>848</v>
      </c>
      <c r="C24" s="31"/>
      <c r="D24" s="201">
        <v>357335</v>
      </c>
      <c r="E24" s="202" t="str">
        <f t="shared" si="0"/>
        <v>O_62</v>
      </c>
    </row>
    <row r="25" spans="1:5" ht="15.75" customHeight="1">
      <c r="A25" s="200">
        <v>692273</v>
      </c>
      <c r="B25" s="200" t="s">
        <v>849</v>
      </c>
      <c r="C25" s="31"/>
      <c r="D25" s="201">
        <v>692273</v>
      </c>
      <c r="E25" s="202" t="str">
        <f t="shared" si="0"/>
        <v>B_277</v>
      </c>
    </row>
    <row r="26" spans="1:5" ht="15.75" customHeight="1">
      <c r="A26" s="200">
        <v>530883</v>
      </c>
      <c r="B26" s="200" t="s">
        <v>850</v>
      </c>
      <c r="C26" s="31"/>
      <c r="D26" s="201">
        <v>530883</v>
      </c>
      <c r="E26" s="202" t="str">
        <f t="shared" si="0"/>
        <v>V_318</v>
      </c>
    </row>
    <row r="27" spans="1:5" ht="15.75" customHeight="1">
      <c r="A27" s="200">
        <v>124354</v>
      </c>
      <c r="B27" s="200" t="s">
        <v>851</v>
      </c>
      <c r="C27" s="31"/>
      <c r="D27" s="201">
        <v>124354</v>
      </c>
      <c r="E27" s="202" t="str">
        <f t="shared" si="0"/>
        <v>J_446</v>
      </c>
    </row>
    <row r="28" spans="1:5" ht="15.75" customHeight="1">
      <c r="A28" s="200">
        <v>430230</v>
      </c>
      <c r="B28" s="200" t="s">
        <v>852</v>
      </c>
      <c r="C28" s="31"/>
      <c r="D28" s="201">
        <v>430230</v>
      </c>
      <c r="E28" s="202" t="str">
        <f t="shared" si="0"/>
        <v>P_18</v>
      </c>
    </row>
    <row r="29" spans="1:5" ht="15.75" customHeight="1">
      <c r="A29" s="200">
        <v>474386</v>
      </c>
      <c r="B29" s="200" t="s">
        <v>853</v>
      </c>
      <c r="C29" s="31"/>
      <c r="D29" s="201">
        <v>474386</v>
      </c>
      <c r="E29" s="202" t="str">
        <f t="shared" si="0"/>
        <v>T_84</v>
      </c>
    </row>
    <row r="30" spans="1:5" ht="15.75" customHeight="1">
      <c r="A30" s="200">
        <v>62142</v>
      </c>
      <c r="B30" s="200" t="s">
        <v>854</v>
      </c>
      <c r="C30" s="31"/>
      <c r="D30" s="201">
        <v>62142</v>
      </c>
      <c r="E30" s="202" t="str">
        <f t="shared" si="0"/>
        <v>J_264</v>
      </c>
    </row>
    <row r="31" spans="1:5" ht="15.75" customHeight="1">
      <c r="A31" s="200">
        <v>313357</v>
      </c>
      <c r="B31" s="200" t="s">
        <v>855</v>
      </c>
      <c r="C31" s="31"/>
      <c r="D31" s="201">
        <v>313357</v>
      </c>
      <c r="E31" s="202" t="str">
        <f t="shared" si="0"/>
        <v>X_296</v>
      </c>
    </row>
    <row r="32" spans="1:5" ht="15.75" customHeight="1">
      <c r="A32" s="200">
        <v>543456</v>
      </c>
      <c r="B32" s="200" t="s">
        <v>856</v>
      </c>
      <c r="C32" s="31"/>
      <c r="D32" s="201">
        <v>543456</v>
      </c>
      <c r="E32" s="202" t="str">
        <f t="shared" si="0"/>
        <v>X_112</v>
      </c>
    </row>
    <row r="33" spans="1:5" ht="15.75" customHeight="1">
      <c r="A33" s="200">
        <v>74285</v>
      </c>
      <c r="B33" s="200" t="s">
        <v>857</v>
      </c>
      <c r="C33" s="31"/>
      <c r="D33" s="201">
        <v>74285</v>
      </c>
      <c r="E33" s="202" t="str">
        <f t="shared" si="0"/>
        <v>J_430</v>
      </c>
    </row>
    <row r="34" spans="1:5" ht="15.75" customHeight="1">
      <c r="A34" s="200">
        <v>80125</v>
      </c>
      <c r="B34" s="200" t="s">
        <v>858</v>
      </c>
      <c r="C34" s="31"/>
      <c r="D34" s="201">
        <v>80125</v>
      </c>
      <c r="E34" s="202" t="str">
        <f t="shared" si="0"/>
        <v>I_159</v>
      </c>
    </row>
    <row r="35" spans="1:5" ht="15.75" customHeight="1">
      <c r="A35" s="200">
        <v>715820</v>
      </c>
      <c r="B35" s="200" t="s">
        <v>859</v>
      </c>
      <c r="C35" s="31"/>
      <c r="D35" s="201">
        <v>715820</v>
      </c>
      <c r="E35" s="202" t="str">
        <f t="shared" si="0"/>
        <v>F_10</v>
      </c>
    </row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14:B14"/>
    <mergeCell ref="D14:E14"/>
  </mergeCell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FF00"/>
  </sheetPr>
  <dimension ref="A1:R1000"/>
  <sheetViews>
    <sheetView workbookViewId="0"/>
  </sheetViews>
  <sheetFormatPr defaultColWidth="14.44140625" defaultRowHeight="15" customHeight="1"/>
  <cols>
    <col min="1" max="1" width="5.33203125" customWidth="1"/>
    <col min="2" max="2" width="12.6640625" customWidth="1"/>
    <col min="3" max="3" width="8" customWidth="1"/>
    <col min="4" max="4" width="9.33203125" customWidth="1"/>
    <col min="5" max="5" width="0.33203125" hidden="1" customWidth="1"/>
    <col min="6" max="6" width="12" customWidth="1"/>
    <col min="7" max="7" width="11" customWidth="1"/>
    <col min="8" max="8" width="8.5546875" customWidth="1"/>
    <col min="9" max="9" width="5.88671875" customWidth="1"/>
    <col min="10" max="10" width="23.88671875" customWidth="1"/>
    <col min="11" max="11" width="4.88671875" customWidth="1"/>
    <col min="12" max="12" width="9.109375" customWidth="1"/>
    <col min="13" max="13" width="10.33203125" customWidth="1"/>
    <col min="14" max="14" width="7.6640625" customWidth="1"/>
    <col min="15" max="27" width="8" customWidth="1"/>
  </cols>
  <sheetData>
    <row r="1" spans="1:16" ht="18.75" customHeight="1">
      <c r="A1" s="300" t="s">
        <v>860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</row>
    <row r="4" spans="1:16" ht="23.25" customHeight="1">
      <c r="A4" s="334" t="s">
        <v>836</v>
      </c>
      <c r="B4" s="335"/>
      <c r="C4" s="335"/>
      <c r="D4" s="335"/>
      <c r="E4" s="335"/>
      <c r="F4" s="335"/>
      <c r="G4" s="335"/>
      <c r="H4" s="335"/>
      <c r="I4" s="335"/>
    </row>
    <row r="5" spans="1:16" ht="15.75" customHeight="1">
      <c r="I5" s="30"/>
      <c r="J5" s="30"/>
    </row>
    <row r="6" spans="1:16" ht="14.4">
      <c r="A6" s="32" t="s">
        <v>861</v>
      </c>
      <c r="B6" s="33" t="s">
        <v>213</v>
      </c>
      <c r="C6" s="33" t="s">
        <v>803</v>
      </c>
      <c r="D6" s="33" t="s">
        <v>424</v>
      </c>
      <c r="E6" s="33" t="s">
        <v>862</v>
      </c>
      <c r="F6" s="33" t="s">
        <v>469</v>
      </c>
      <c r="G6" s="33" t="s">
        <v>863</v>
      </c>
      <c r="H6" s="33" t="s">
        <v>864</v>
      </c>
      <c r="I6" s="26" t="s">
        <v>865</v>
      </c>
      <c r="J6" s="30"/>
      <c r="L6" s="203" t="s">
        <v>803</v>
      </c>
      <c r="M6" s="203" t="s">
        <v>863</v>
      </c>
      <c r="N6" s="203" t="s">
        <v>864</v>
      </c>
    </row>
    <row r="7" spans="1:16" ht="14.4">
      <c r="A7" s="25">
        <v>1</v>
      </c>
      <c r="B7" s="26" t="s">
        <v>866</v>
      </c>
      <c r="C7" s="26" t="s">
        <v>320</v>
      </c>
      <c r="D7" s="26" t="s">
        <v>867</v>
      </c>
      <c r="E7" s="26" t="s">
        <v>868</v>
      </c>
      <c r="F7" s="26" t="s">
        <v>869</v>
      </c>
      <c r="G7" s="26">
        <f t="shared" ref="G7:G23" si="0">VLOOKUP(C7,$L$7:$N$14,2,0)</f>
        <v>100</v>
      </c>
      <c r="H7" s="26">
        <f t="shared" ref="H7:H23" si="1">VLOOKUP(C7,$L$7:$N$14,3,0)</f>
        <v>900</v>
      </c>
      <c r="I7" s="26">
        <f t="shared" ref="I7:I23" si="2">VLOOKUP(D7,$L$20:$M$23,2,0)</f>
        <v>100</v>
      </c>
      <c r="J7" s="30" t="str">
        <f>IF(F7&gt;15000,"A",IF(F7&gt;10000,"B","C"))</f>
        <v>A</v>
      </c>
      <c r="L7" s="26" t="s">
        <v>320</v>
      </c>
      <c r="M7" s="26">
        <v>100</v>
      </c>
      <c r="N7" s="26">
        <v>900</v>
      </c>
    </row>
    <row r="8" spans="1:16" ht="14.4">
      <c r="A8" s="25">
        <v>2</v>
      </c>
      <c r="B8" s="26" t="s">
        <v>870</v>
      </c>
      <c r="C8" s="26" t="s">
        <v>320</v>
      </c>
      <c r="D8" s="26" t="s">
        <v>871</v>
      </c>
      <c r="E8" s="26" t="s">
        <v>872</v>
      </c>
      <c r="F8" s="26">
        <v>12500</v>
      </c>
      <c r="G8" s="26">
        <f t="shared" si="0"/>
        <v>100</v>
      </c>
      <c r="H8" s="26">
        <f t="shared" si="1"/>
        <v>900</v>
      </c>
      <c r="I8" s="26">
        <f t="shared" si="2"/>
        <v>200</v>
      </c>
      <c r="J8" s="30"/>
      <c r="L8" s="26" t="s">
        <v>873</v>
      </c>
      <c r="M8" s="26">
        <v>200</v>
      </c>
      <c r="N8" s="26">
        <v>800</v>
      </c>
    </row>
    <row r="9" spans="1:16" ht="14.4">
      <c r="A9" s="25">
        <v>3</v>
      </c>
      <c r="B9" s="26" t="s">
        <v>874</v>
      </c>
      <c r="C9" s="26" t="s">
        <v>873</v>
      </c>
      <c r="D9" s="26" t="s">
        <v>867</v>
      </c>
      <c r="E9" s="26" t="s">
        <v>556</v>
      </c>
      <c r="F9" s="26">
        <v>8750</v>
      </c>
      <c r="G9" s="26">
        <f t="shared" si="0"/>
        <v>200</v>
      </c>
      <c r="H9" s="26">
        <f t="shared" si="1"/>
        <v>800</v>
      </c>
      <c r="I9" s="26">
        <f t="shared" si="2"/>
        <v>100</v>
      </c>
      <c r="J9" s="30"/>
      <c r="L9" s="26" t="s">
        <v>875</v>
      </c>
      <c r="M9" s="26">
        <v>300</v>
      </c>
      <c r="N9" s="26">
        <v>700</v>
      </c>
    </row>
    <row r="10" spans="1:16" ht="14.4">
      <c r="A10" s="25">
        <v>4</v>
      </c>
      <c r="B10" s="26" t="s">
        <v>876</v>
      </c>
      <c r="C10" s="26" t="s">
        <v>875</v>
      </c>
      <c r="D10" s="26" t="s">
        <v>867</v>
      </c>
      <c r="E10" s="26" t="s">
        <v>557</v>
      </c>
      <c r="F10" s="26">
        <v>15000</v>
      </c>
      <c r="G10" s="26">
        <f t="shared" si="0"/>
        <v>300</v>
      </c>
      <c r="H10" s="26">
        <f t="shared" si="1"/>
        <v>700</v>
      </c>
      <c r="I10" s="26">
        <f t="shared" si="2"/>
        <v>100</v>
      </c>
      <c r="J10" s="30"/>
      <c r="L10" s="26" t="s">
        <v>265</v>
      </c>
      <c r="M10" s="26">
        <v>400</v>
      </c>
      <c r="N10" s="26">
        <v>600</v>
      </c>
    </row>
    <row r="11" spans="1:16" ht="14.4">
      <c r="A11" s="25">
        <v>5</v>
      </c>
      <c r="B11" s="26" t="s">
        <v>877</v>
      </c>
      <c r="C11" s="26" t="s">
        <v>875</v>
      </c>
      <c r="D11" s="26" t="s">
        <v>867</v>
      </c>
      <c r="E11" s="26" t="s">
        <v>878</v>
      </c>
      <c r="F11" s="26">
        <v>8875</v>
      </c>
      <c r="G11" s="26">
        <f t="shared" si="0"/>
        <v>300</v>
      </c>
      <c r="H11" s="26">
        <f t="shared" si="1"/>
        <v>700</v>
      </c>
      <c r="I11" s="26">
        <f t="shared" si="2"/>
        <v>100</v>
      </c>
      <c r="J11" s="30"/>
      <c r="L11" s="26" t="s">
        <v>879</v>
      </c>
      <c r="M11" s="26">
        <v>500</v>
      </c>
      <c r="N11" s="26">
        <v>500</v>
      </c>
    </row>
    <row r="12" spans="1:16" ht="14.4">
      <c r="A12" s="25">
        <v>6</v>
      </c>
      <c r="B12" s="26" t="s">
        <v>880</v>
      </c>
      <c r="C12" s="26" t="s">
        <v>875</v>
      </c>
      <c r="D12" s="26" t="s">
        <v>867</v>
      </c>
      <c r="E12" s="26" t="s">
        <v>881</v>
      </c>
      <c r="F12" s="26">
        <v>8875</v>
      </c>
      <c r="G12" s="26">
        <f t="shared" si="0"/>
        <v>300</v>
      </c>
      <c r="H12" s="26">
        <f t="shared" si="1"/>
        <v>700</v>
      </c>
      <c r="I12" s="26">
        <f t="shared" si="2"/>
        <v>100</v>
      </c>
      <c r="J12" s="30"/>
      <c r="L12" s="26" t="s">
        <v>882</v>
      </c>
      <c r="M12" s="26">
        <v>600</v>
      </c>
      <c r="N12" s="26">
        <v>400</v>
      </c>
    </row>
    <row r="13" spans="1:16" ht="14.4">
      <c r="A13" s="25">
        <v>7</v>
      </c>
      <c r="B13" s="26" t="s">
        <v>883</v>
      </c>
      <c r="C13" s="26" t="s">
        <v>320</v>
      </c>
      <c r="D13" s="26" t="s">
        <v>867</v>
      </c>
      <c r="E13" s="26" t="s">
        <v>884</v>
      </c>
      <c r="F13" s="26">
        <v>10625</v>
      </c>
      <c r="G13" s="26">
        <f t="shared" si="0"/>
        <v>100</v>
      </c>
      <c r="H13" s="26">
        <f t="shared" si="1"/>
        <v>900</v>
      </c>
      <c r="I13" s="26">
        <f t="shared" si="2"/>
        <v>100</v>
      </c>
      <c r="J13" s="30"/>
      <c r="L13" s="26" t="s">
        <v>885</v>
      </c>
      <c r="M13" s="26">
        <v>700</v>
      </c>
      <c r="N13" s="26">
        <v>300</v>
      </c>
    </row>
    <row r="14" spans="1:16" ht="14.4">
      <c r="A14" s="25">
        <v>8</v>
      </c>
      <c r="B14" s="26" t="s">
        <v>886</v>
      </c>
      <c r="C14" s="26" t="s">
        <v>873</v>
      </c>
      <c r="D14" s="26" t="s">
        <v>871</v>
      </c>
      <c r="E14" s="26" t="s">
        <v>887</v>
      </c>
      <c r="F14" s="26">
        <v>11250</v>
      </c>
      <c r="G14" s="26">
        <f t="shared" si="0"/>
        <v>200</v>
      </c>
      <c r="H14" s="26">
        <f t="shared" si="1"/>
        <v>800</v>
      </c>
      <c r="I14" s="26">
        <f t="shared" si="2"/>
        <v>200</v>
      </c>
      <c r="J14" s="30"/>
      <c r="L14" s="26" t="s">
        <v>888</v>
      </c>
      <c r="M14" s="26">
        <v>800</v>
      </c>
      <c r="N14" s="26">
        <v>200</v>
      </c>
      <c r="P14" s="5" t="s">
        <v>1217</v>
      </c>
    </row>
    <row r="15" spans="1:16" ht="14.4">
      <c r="A15" s="25">
        <v>9</v>
      </c>
      <c r="B15" s="26" t="s">
        <v>889</v>
      </c>
      <c r="C15" s="26" t="s">
        <v>265</v>
      </c>
      <c r="D15" s="26" t="s">
        <v>890</v>
      </c>
      <c r="E15" s="26" t="s">
        <v>562</v>
      </c>
      <c r="F15" s="26">
        <v>10625</v>
      </c>
      <c r="G15" s="26">
        <f t="shared" si="0"/>
        <v>400</v>
      </c>
      <c r="H15" s="26">
        <f t="shared" si="1"/>
        <v>600</v>
      </c>
      <c r="I15" s="26">
        <f t="shared" si="2"/>
        <v>300</v>
      </c>
      <c r="J15" s="30"/>
    </row>
    <row r="16" spans="1:16" ht="14.4">
      <c r="A16" s="25">
        <v>10</v>
      </c>
      <c r="B16" s="26" t="s">
        <v>891</v>
      </c>
      <c r="C16" s="26" t="s">
        <v>879</v>
      </c>
      <c r="D16" s="26" t="s">
        <v>867</v>
      </c>
      <c r="E16" s="26" t="s">
        <v>892</v>
      </c>
      <c r="F16" s="26">
        <v>15000</v>
      </c>
      <c r="G16" s="26">
        <f t="shared" si="0"/>
        <v>500</v>
      </c>
      <c r="H16" s="26">
        <f t="shared" si="1"/>
        <v>500</v>
      </c>
      <c r="I16" s="26">
        <f t="shared" si="2"/>
        <v>100</v>
      </c>
      <c r="J16" s="30"/>
    </row>
    <row r="17" spans="1:18" ht="14.4">
      <c r="A17" s="25">
        <v>11</v>
      </c>
      <c r="B17" s="26" t="s">
        <v>893</v>
      </c>
      <c r="C17" s="26" t="s">
        <v>265</v>
      </c>
      <c r="D17" s="26" t="s">
        <v>871</v>
      </c>
      <c r="E17" s="26" t="s">
        <v>894</v>
      </c>
      <c r="F17" s="26">
        <v>13750</v>
      </c>
      <c r="G17" s="26">
        <f t="shared" si="0"/>
        <v>400</v>
      </c>
      <c r="H17" s="26">
        <f t="shared" si="1"/>
        <v>600</v>
      </c>
      <c r="I17" s="26">
        <f t="shared" si="2"/>
        <v>200</v>
      </c>
      <c r="J17" s="30"/>
    </row>
    <row r="18" spans="1:18" ht="14.4">
      <c r="A18" s="25">
        <v>12</v>
      </c>
      <c r="B18" s="26" t="s">
        <v>895</v>
      </c>
      <c r="C18" s="26" t="s">
        <v>882</v>
      </c>
      <c r="D18" s="26" t="s">
        <v>563</v>
      </c>
      <c r="E18" s="26" t="s">
        <v>896</v>
      </c>
      <c r="F18" s="26">
        <v>35000</v>
      </c>
      <c r="G18" s="26">
        <f t="shared" si="0"/>
        <v>600</v>
      </c>
      <c r="H18" s="26">
        <f t="shared" si="1"/>
        <v>400</v>
      </c>
      <c r="I18" s="26">
        <f t="shared" si="2"/>
        <v>400</v>
      </c>
      <c r="J18" s="30"/>
    </row>
    <row r="19" spans="1:18" ht="14.4">
      <c r="A19" s="25">
        <v>13</v>
      </c>
      <c r="B19" s="26" t="s">
        <v>897</v>
      </c>
      <c r="C19" s="26" t="s">
        <v>885</v>
      </c>
      <c r="D19" s="26" t="s">
        <v>867</v>
      </c>
      <c r="E19" s="26" t="s">
        <v>892</v>
      </c>
      <c r="F19" s="26">
        <v>10625</v>
      </c>
      <c r="G19" s="26">
        <f t="shared" si="0"/>
        <v>700</v>
      </c>
      <c r="H19" s="26">
        <f t="shared" si="1"/>
        <v>300</v>
      </c>
      <c r="I19" s="26">
        <f t="shared" si="2"/>
        <v>100</v>
      </c>
      <c r="J19" s="30"/>
      <c r="L19" s="204" t="s">
        <v>424</v>
      </c>
      <c r="M19" s="204" t="s">
        <v>865</v>
      </c>
    </row>
    <row r="20" spans="1:18" ht="14.4">
      <c r="A20" s="25">
        <v>14</v>
      </c>
      <c r="B20" s="26" t="s">
        <v>898</v>
      </c>
      <c r="C20" s="26" t="s">
        <v>885</v>
      </c>
      <c r="D20" s="26" t="s">
        <v>867</v>
      </c>
      <c r="E20" s="26" t="s">
        <v>899</v>
      </c>
      <c r="F20" s="26">
        <v>10625</v>
      </c>
      <c r="G20" s="26">
        <f t="shared" si="0"/>
        <v>700</v>
      </c>
      <c r="H20" s="26">
        <f t="shared" si="1"/>
        <v>300</v>
      </c>
      <c r="I20" s="26">
        <f t="shared" si="2"/>
        <v>100</v>
      </c>
      <c r="J20" s="30"/>
      <c r="L20" s="26" t="s">
        <v>867</v>
      </c>
      <c r="M20" s="26">
        <v>100</v>
      </c>
    </row>
    <row r="21" spans="1:18" ht="15.75" customHeight="1">
      <c r="A21" s="25">
        <v>15</v>
      </c>
      <c r="B21" s="26" t="s">
        <v>900</v>
      </c>
      <c r="C21" s="26" t="s">
        <v>879</v>
      </c>
      <c r="D21" s="26" t="s">
        <v>871</v>
      </c>
      <c r="E21" s="26" t="s">
        <v>872</v>
      </c>
      <c r="F21" s="26">
        <v>11250</v>
      </c>
      <c r="G21" s="26">
        <f t="shared" si="0"/>
        <v>500</v>
      </c>
      <c r="H21" s="26">
        <f t="shared" si="1"/>
        <v>500</v>
      </c>
      <c r="I21" s="26">
        <f t="shared" si="2"/>
        <v>200</v>
      </c>
      <c r="J21" s="30"/>
      <c r="L21" s="26" t="s">
        <v>871</v>
      </c>
      <c r="M21" s="26">
        <v>200</v>
      </c>
    </row>
    <row r="22" spans="1:18" ht="15.75" customHeight="1">
      <c r="A22" s="25">
        <v>16</v>
      </c>
      <c r="B22" s="26" t="s">
        <v>901</v>
      </c>
      <c r="C22" s="26" t="s">
        <v>879</v>
      </c>
      <c r="D22" s="26" t="s">
        <v>890</v>
      </c>
      <c r="E22" s="26" t="s">
        <v>902</v>
      </c>
      <c r="F22" s="26">
        <v>11250</v>
      </c>
      <c r="G22" s="26">
        <f t="shared" si="0"/>
        <v>500</v>
      </c>
      <c r="H22" s="26">
        <f t="shared" si="1"/>
        <v>500</v>
      </c>
      <c r="I22" s="26">
        <f t="shared" si="2"/>
        <v>300</v>
      </c>
      <c r="J22" s="30"/>
      <c r="L22" s="26" t="s">
        <v>890</v>
      </c>
      <c r="M22" s="26">
        <v>300</v>
      </c>
    </row>
    <row r="23" spans="1:18" ht="15.75" customHeight="1">
      <c r="A23" s="28">
        <v>17</v>
      </c>
      <c r="B23" s="29" t="s">
        <v>903</v>
      </c>
      <c r="C23" s="29" t="s">
        <v>873</v>
      </c>
      <c r="D23" s="29" t="s">
        <v>867</v>
      </c>
      <c r="E23" s="29" t="s">
        <v>878</v>
      </c>
      <c r="F23" s="29">
        <v>7500</v>
      </c>
      <c r="G23" s="26">
        <f t="shared" si="0"/>
        <v>200</v>
      </c>
      <c r="H23" s="26">
        <f t="shared" si="1"/>
        <v>800</v>
      </c>
      <c r="I23" s="26">
        <f t="shared" si="2"/>
        <v>100</v>
      </c>
      <c r="J23" s="30"/>
      <c r="L23" s="26" t="s">
        <v>563</v>
      </c>
      <c r="M23" s="26">
        <v>400</v>
      </c>
    </row>
    <row r="24" spans="1:18" ht="15.75" customHeight="1"/>
    <row r="25" spans="1:18" ht="15.75" customHeight="1">
      <c r="A25" s="5" t="s">
        <v>904</v>
      </c>
    </row>
    <row r="26" spans="1:18" ht="15.75" customHeight="1">
      <c r="A26" s="5" t="s">
        <v>905</v>
      </c>
    </row>
    <row r="27" spans="1:18" ht="15.75" customHeight="1">
      <c r="A27" s="5" t="s">
        <v>906</v>
      </c>
      <c r="J27" s="5">
        <f>COUNTIF(C7:C23,"sales")</f>
        <v>3</v>
      </c>
      <c r="N27" s="5" t="s">
        <v>907</v>
      </c>
      <c r="R27" s="5">
        <f>COUNTIF(C7:C23,"sales")</f>
        <v>3</v>
      </c>
    </row>
    <row r="28" spans="1:18" ht="15.75" customHeight="1">
      <c r="A28" s="5" t="s">
        <v>908</v>
      </c>
      <c r="J28" s="5">
        <f>SUMIF(D7:D23,"north",F7:F23)</f>
        <v>95875</v>
      </c>
    </row>
    <row r="29" spans="1:18" ht="15.75" customHeight="1">
      <c r="A29" s="5" t="s">
        <v>909</v>
      </c>
      <c r="O29" s="5" t="s">
        <v>910</v>
      </c>
      <c r="R29" s="5">
        <f>SUMIF(D7:D23,"north",F7:F23)</f>
        <v>95875</v>
      </c>
    </row>
    <row r="30" spans="1:18" ht="15.75" customHeight="1"/>
    <row r="31" spans="1:18" ht="15.75" customHeight="1"/>
    <row r="32" spans="1:18" ht="15.75" customHeight="1"/>
    <row r="33" spans="4:4" ht="15.75" customHeight="1">
      <c r="D33" s="5" t="e">
        <f>IF(F6:F23&lt;15000,"A")</f>
        <v>#VALUE!</v>
      </c>
    </row>
    <row r="34" spans="4:4" ht="15.75" customHeight="1"/>
    <row r="35" spans="4:4" ht="15.75" customHeight="1"/>
    <row r="36" spans="4:4" ht="15.75" customHeight="1"/>
    <row r="37" spans="4:4" ht="15.75" customHeight="1"/>
    <row r="38" spans="4:4" ht="15.75" customHeight="1"/>
    <row r="39" spans="4:4" ht="15.75" customHeight="1"/>
    <row r="40" spans="4:4" ht="15.75" customHeight="1"/>
    <row r="41" spans="4:4" ht="15.75" customHeight="1"/>
    <row r="42" spans="4:4" ht="15.75" customHeight="1"/>
    <row r="43" spans="4:4" ht="15.75" customHeight="1"/>
    <row r="44" spans="4:4" ht="15.75" customHeight="1"/>
    <row r="45" spans="4:4" ht="15.75" customHeight="1"/>
    <row r="46" spans="4:4" ht="15.75" customHeight="1"/>
    <row r="47" spans="4:4" ht="15.75" customHeight="1"/>
    <row r="48" spans="4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4:I4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1000"/>
  <sheetViews>
    <sheetView workbookViewId="0"/>
  </sheetViews>
  <sheetFormatPr defaultColWidth="14.44140625" defaultRowHeight="15" customHeight="1"/>
  <cols>
    <col min="1" max="1" width="5" customWidth="1"/>
    <col min="2" max="2" width="12.109375" customWidth="1"/>
    <col min="3" max="3" width="8" customWidth="1"/>
    <col min="4" max="4" width="10.109375" customWidth="1"/>
    <col min="5" max="5" width="10.6640625" customWidth="1"/>
    <col min="6" max="6" width="8.5546875" customWidth="1"/>
    <col min="7" max="7" width="6.6640625" customWidth="1"/>
    <col min="8" max="8" width="7" customWidth="1"/>
    <col min="9" max="9" width="11.6640625" customWidth="1"/>
    <col min="10" max="25" width="8" customWidth="1"/>
  </cols>
  <sheetData>
    <row r="1" spans="1:13" ht="18.75" customHeight="1">
      <c r="A1" s="300" t="s">
        <v>911</v>
      </c>
      <c r="B1" s="301"/>
      <c r="C1" s="301"/>
      <c r="D1" s="301"/>
      <c r="E1" s="301"/>
      <c r="F1" s="301"/>
      <c r="G1" s="301"/>
      <c r="H1" s="301"/>
      <c r="I1" s="301"/>
      <c r="J1" s="301"/>
      <c r="K1" s="14"/>
      <c r="L1" s="14"/>
      <c r="M1" s="14"/>
    </row>
    <row r="4" spans="1:13" ht="18.75" customHeight="1">
      <c r="A4" s="336" t="s">
        <v>836</v>
      </c>
      <c r="B4" s="301"/>
      <c r="C4" s="301"/>
      <c r="D4" s="301"/>
      <c r="E4" s="301"/>
      <c r="F4" s="301"/>
    </row>
    <row r="5" spans="1:13" ht="14.4">
      <c r="A5" s="337" t="s">
        <v>912</v>
      </c>
      <c r="B5" s="301"/>
      <c r="C5" s="301"/>
      <c r="D5" s="301"/>
      <c r="E5" s="301"/>
      <c r="F5" s="301"/>
      <c r="I5" s="206" t="s">
        <v>913</v>
      </c>
    </row>
    <row r="6" spans="1:13" ht="14.4">
      <c r="A6" s="205"/>
      <c r="B6" s="205"/>
      <c r="C6" s="205"/>
      <c r="D6" s="205"/>
      <c r="E6" s="205"/>
      <c r="F6" s="205"/>
    </row>
    <row r="7" spans="1:13" ht="14.4">
      <c r="A7" s="207" t="s">
        <v>914</v>
      </c>
      <c r="B7" s="208" t="s">
        <v>213</v>
      </c>
      <c r="C7" s="208" t="s">
        <v>803</v>
      </c>
      <c r="D7" s="209" t="s">
        <v>469</v>
      </c>
      <c r="E7" s="210" t="s">
        <v>915</v>
      </c>
      <c r="F7" s="211" t="s">
        <v>916</v>
      </c>
      <c r="H7" s="208" t="s">
        <v>917</v>
      </c>
      <c r="I7" s="208" t="s">
        <v>918</v>
      </c>
      <c r="J7" s="212" t="s">
        <v>919</v>
      </c>
      <c r="K7" s="213">
        <f>VLOOKUP(D8,$H$7:$J$15,2,1)</f>
        <v>0.2</v>
      </c>
    </row>
    <row r="8" spans="1:13" ht="14.4">
      <c r="A8" s="214">
        <v>1</v>
      </c>
      <c r="B8" s="215" t="s">
        <v>866</v>
      </c>
      <c r="C8" s="215" t="s">
        <v>320</v>
      </c>
      <c r="D8" s="216">
        <v>15625</v>
      </c>
      <c r="E8" s="217">
        <f t="shared" ref="E8:E47" si="0">VLOOKUP(D8,$H$7:$J$15,2,1)</f>
        <v>0.2</v>
      </c>
      <c r="F8" s="153" t="str">
        <f t="shared" ref="F8:F47" si="1">VLOOKUP(D8,$H$4:$J$12,3,1)</f>
        <v>D</v>
      </c>
      <c r="H8" s="26">
        <v>1</v>
      </c>
      <c r="I8" s="218">
        <v>0.05</v>
      </c>
      <c r="J8" s="6" t="s">
        <v>31</v>
      </c>
      <c r="L8" s="213">
        <f t="shared" ref="L8:L11" si="2">VLOOKUP(D8,H7:J15,2,1)</f>
        <v>0.2</v>
      </c>
      <c r="M8" s="5" t="str">
        <f>VLOOKUP(D8,H7:J15,3,1)</f>
        <v>D</v>
      </c>
    </row>
    <row r="9" spans="1:13" ht="14.4">
      <c r="A9" s="214">
        <v>2</v>
      </c>
      <c r="B9" s="215" t="s">
        <v>870</v>
      </c>
      <c r="C9" s="215" t="s">
        <v>320</v>
      </c>
      <c r="D9" s="216">
        <v>12500</v>
      </c>
      <c r="E9" s="217">
        <f t="shared" si="0"/>
        <v>0.15</v>
      </c>
      <c r="F9" s="153" t="str">
        <f t="shared" si="1"/>
        <v>C</v>
      </c>
      <c r="H9" s="26">
        <v>5001</v>
      </c>
      <c r="I9" s="218">
        <v>0.1</v>
      </c>
      <c r="J9" s="6" t="s">
        <v>32</v>
      </c>
      <c r="L9" s="213">
        <f t="shared" si="2"/>
        <v>0.15</v>
      </c>
      <c r="M9" s="5" t="str">
        <f>VLOOKUP(D9,H7:J15,3,1)</f>
        <v>C</v>
      </c>
    </row>
    <row r="10" spans="1:13" ht="14.4">
      <c r="A10" s="214">
        <v>3</v>
      </c>
      <c r="B10" s="215" t="s">
        <v>874</v>
      </c>
      <c r="C10" s="215" t="s">
        <v>873</v>
      </c>
      <c r="D10" s="216">
        <v>8750</v>
      </c>
      <c r="E10" s="217">
        <f t="shared" si="0"/>
        <v>0.1</v>
      </c>
      <c r="F10" s="153" t="str">
        <f t="shared" si="1"/>
        <v>B</v>
      </c>
      <c r="H10" s="26">
        <v>10001</v>
      </c>
      <c r="I10" s="218">
        <v>0.15</v>
      </c>
      <c r="J10" s="6" t="s">
        <v>543</v>
      </c>
      <c r="L10" s="213">
        <f t="shared" si="2"/>
        <v>0.1</v>
      </c>
      <c r="M10" s="5" t="str">
        <f>VLOOKUP(D10,H9:J17,3,1)</f>
        <v>B</v>
      </c>
    </row>
    <row r="11" spans="1:13" ht="14.4">
      <c r="A11" s="214">
        <v>4</v>
      </c>
      <c r="B11" s="215" t="s">
        <v>876</v>
      </c>
      <c r="C11" s="215" t="s">
        <v>875</v>
      </c>
      <c r="D11" s="216">
        <v>15000</v>
      </c>
      <c r="E11" s="217">
        <f t="shared" si="0"/>
        <v>0.15</v>
      </c>
      <c r="F11" s="153" t="str">
        <f t="shared" si="1"/>
        <v>C</v>
      </c>
      <c r="H11" s="26">
        <v>15001</v>
      </c>
      <c r="I11" s="218">
        <v>0.2</v>
      </c>
      <c r="J11" s="6" t="s">
        <v>174</v>
      </c>
      <c r="L11" s="213">
        <f t="shared" si="2"/>
        <v>0.15</v>
      </c>
      <c r="M11" s="5" t="str">
        <f>VLOOKUP(D11,H9:J17,3,1)</f>
        <v>C</v>
      </c>
    </row>
    <row r="12" spans="1:13" ht="14.4">
      <c r="A12" s="214">
        <v>5</v>
      </c>
      <c r="B12" s="215" t="s">
        <v>877</v>
      </c>
      <c r="C12" s="215" t="s">
        <v>875</v>
      </c>
      <c r="D12" s="216">
        <v>8875</v>
      </c>
      <c r="E12" s="217">
        <f t="shared" si="0"/>
        <v>0.1</v>
      </c>
      <c r="F12" s="153" t="str">
        <f t="shared" si="1"/>
        <v>B</v>
      </c>
      <c r="H12" s="26">
        <v>20001</v>
      </c>
      <c r="I12" s="218">
        <v>0.25</v>
      </c>
      <c r="J12" s="6" t="s">
        <v>540</v>
      </c>
      <c r="L12" s="213">
        <f>VLOOKUP(D12,H7:J15,2,1)</f>
        <v>0.1</v>
      </c>
      <c r="M12" s="5" t="str">
        <f>VLOOKUP(D11,H7:J15,3,1)</f>
        <v>C</v>
      </c>
    </row>
    <row r="13" spans="1:13" ht="14.4">
      <c r="A13" s="214">
        <v>6</v>
      </c>
      <c r="B13" s="215" t="s">
        <v>880</v>
      </c>
      <c r="C13" s="215" t="s">
        <v>875</v>
      </c>
      <c r="D13" s="216">
        <v>8875</v>
      </c>
      <c r="E13" s="217">
        <f t="shared" si="0"/>
        <v>0.1</v>
      </c>
      <c r="F13" s="153" t="str">
        <f t="shared" si="1"/>
        <v>B</v>
      </c>
      <c r="H13" s="26">
        <v>25001</v>
      </c>
      <c r="I13" s="218">
        <v>0.3</v>
      </c>
      <c r="J13" s="6" t="s">
        <v>546</v>
      </c>
      <c r="L13" s="213">
        <f>VLOOKUP(D13,H7:J15,2,1)</f>
        <v>0.1</v>
      </c>
      <c r="M13" s="5" t="str">
        <f>VLOOKUP(D13,H7:J15,3,1)</f>
        <v>B</v>
      </c>
    </row>
    <row r="14" spans="1:13" ht="14.4">
      <c r="A14" s="214">
        <v>7</v>
      </c>
      <c r="B14" s="215" t="s">
        <v>883</v>
      </c>
      <c r="C14" s="215" t="s">
        <v>320</v>
      </c>
      <c r="D14" s="216">
        <v>10625</v>
      </c>
      <c r="E14" s="217">
        <f t="shared" si="0"/>
        <v>0.15</v>
      </c>
      <c r="F14" s="153" t="str">
        <f t="shared" si="1"/>
        <v>C</v>
      </c>
      <c r="H14" s="26">
        <v>30001</v>
      </c>
      <c r="I14" s="218">
        <v>0.35</v>
      </c>
      <c r="J14" s="6" t="s">
        <v>920</v>
      </c>
      <c r="L14" s="213">
        <f>VLOOKUP(D14,H7:J15,2,1)</f>
        <v>0.15</v>
      </c>
      <c r="M14" s="5" t="str">
        <f>VLOOKUP(D14,H7:J15,3,1)</f>
        <v>C</v>
      </c>
    </row>
    <row r="15" spans="1:13" ht="14.4">
      <c r="A15" s="214">
        <v>8</v>
      </c>
      <c r="B15" s="215" t="s">
        <v>886</v>
      </c>
      <c r="C15" s="215" t="s">
        <v>873</v>
      </c>
      <c r="D15" s="216">
        <v>11250</v>
      </c>
      <c r="E15" s="217">
        <f t="shared" si="0"/>
        <v>0.15</v>
      </c>
      <c r="F15" s="153" t="str">
        <f t="shared" si="1"/>
        <v>C</v>
      </c>
      <c r="H15" s="26">
        <v>35001</v>
      </c>
      <c r="I15" s="218">
        <v>0.4</v>
      </c>
      <c r="J15" s="6" t="s">
        <v>921</v>
      </c>
      <c r="L15" s="213">
        <f>VLOOKUP(D15,H7:J15,2,1)</f>
        <v>0.15</v>
      </c>
      <c r="M15" s="5" t="str">
        <f>VLOOKUP(D15,H7:J15,3,1)</f>
        <v>C</v>
      </c>
    </row>
    <row r="16" spans="1:13" ht="14.4">
      <c r="A16" s="214">
        <v>9</v>
      </c>
      <c r="B16" s="215" t="s">
        <v>889</v>
      </c>
      <c r="C16" s="215" t="s">
        <v>265</v>
      </c>
      <c r="D16" s="216">
        <v>10625</v>
      </c>
      <c r="E16" s="217">
        <f t="shared" si="0"/>
        <v>0.15</v>
      </c>
      <c r="F16" s="153" t="str">
        <f t="shared" si="1"/>
        <v>C</v>
      </c>
      <c r="L16" s="213">
        <f>VLOOKUP(D16,H7:J15,2,1)</f>
        <v>0.15</v>
      </c>
      <c r="M16" s="5" t="str">
        <f>VLOOKUP(D16,H7:J15,3,1)</f>
        <v>C</v>
      </c>
    </row>
    <row r="17" spans="1:13" ht="14.4">
      <c r="A17" s="214">
        <v>10</v>
      </c>
      <c r="B17" s="215" t="s">
        <v>891</v>
      </c>
      <c r="C17" s="215" t="s">
        <v>879</v>
      </c>
      <c r="D17" s="219">
        <v>15000</v>
      </c>
      <c r="E17" s="217">
        <f t="shared" si="0"/>
        <v>0.15</v>
      </c>
      <c r="F17" s="153" t="str">
        <f t="shared" si="1"/>
        <v>C</v>
      </c>
      <c r="H17" s="213">
        <f>VLOOKUP(D10,H7:J15,2,1)</f>
        <v>0.1</v>
      </c>
      <c r="L17" s="213">
        <f>VLOOKUP(D17,H7:J15,2,1)</f>
        <v>0.15</v>
      </c>
      <c r="M17" s="5" t="str">
        <f>VLOOKUP(D17,H7:J15,3,1)</f>
        <v>C</v>
      </c>
    </row>
    <row r="18" spans="1:13" ht="14.4">
      <c r="A18" s="214">
        <v>11</v>
      </c>
      <c r="B18" s="215" t="s">
        <v>893</v>
      </c>
      <c r="C18" s="215" t="s">
        <v>265</v>
      </c>
      <c r="D18" s="216">
        <v>13750</v>
      </c>
      <c r="E18" s="217">
        <f t="shared" si="0"/>
        <v>0.15</v>
      </c>
      <c r="F18" s="153" t="str">
        <f t="shared" si="1"/>
        <v>C</v>
      </c>
      <c r="L18" s="213">
        <f>VLOOKUP(D18,H7:J15,2,1)</f>
        <v>0.15</v>
      </c>
      <c r="M18" s="5" t="str">
        <f>VLOOKUP(D18,H7:J15,3,1)</f>
        <v>C</v>
      </c>
    </row>
    <row r="19" spans="1:13" ht="14.4">
      <c r="A19" s="214">
        <v>12</v>
      </c>
      <c r="B19" s="215" t="s">
        <v>895</v>
      </c>
      <c r="C19" s="215" t="s">
        <v>882</v>
      </c>
      <c r="D19" s="216">
        <v>35000</v>
      </c>
      <c r="E19" s="217">
        <f t="shared" si="0"/>
        <v>0.35</v>
      </c>
      <c r="F19" s="153" t="str">
        <f t="shared" si="1"/>
        <v>E</v>
      </c>
      <c r="L19" s="213">
        <f>VLOOKUP(D19,H7:J15,2,1)</f>
        <v>0.35</v>
      </c>
      <c r="M19" s="5" t="str">
        <f>VLOOKUP(D19,H7:J15,3,1)</f>
        <v>G</v>
      </c>
    </row>
    <row r="20" spans="1:13" ht="14.4">
      <c r="A20" s="214">
        <v>13</v>
      </c>
      <c r="B20" s="215" t="s">
        <v>897</v>
      </c>
      <c r="C20" s="215" t="s">
        <v>885</v>
      </c>
      <c r="D20" s="216">
        <v>10625</v>
      </c>
      <c r="E20" s="217">
        <f t="shared" si="0"/>
        <v>0.15</v>
      </c>
      <c r="F20" s="153" t="str">
        <f t="shared" si="1"/>
        <v>C</v>
      </c>
      <c r="L20" s="213">
        <f>VLOOKUP(D20,H7:J15,2,1)</f>
        <v>0.15</v>
      </c>
      <c r="M20" s="5" t="str">
        <f>VLOOKUP(D20,H7:J15,3,1)</f>
        <v>C</v>
      </c>
    </row>
    <row r="21" spans="1:13" ht="15.75" customHeight="1">
      <c r="A21" s="214">
        <v>14</v>
      </c>
      <c r="B21" s="215" t="s">
        <v>898</v>
      </c>
      <c r="C21" s="215" t="s">
        <v>885</v>
      </c>
      <c r="D21" s="216">
        <v>10625</v>
      </c>
      <c r="E21" s="217">
        <f t="shared" si="0"/>
        <v>0.15</v>
      </c>
      <c r="F21" s="153" t="str">
        <f t="shared" si="1"/>
        <v>C</v>
      </c>
      <c r="L21" s="213">
        <f>VLOOKUP(D21,H7:J15,2,1)</f>
        <v>0.15</v>
      </c>
      <c r="M21" s="5" t="str">
        <f>VLOOKUP(D21,H7:J15,3,1)</f>
        <v>C</v>
      </c>
    </row>
    <row r="22" spans="1:13" ht="15.75" customHeight="1">
      <c r="A22" s="214">
        <v>15</v>
      </c>
      <c r="B22" s="215" t="s">
        <v>900</v>
      </c>
      <c r="C22" s="215" t="s">
        <v>879</v>
      </c>
      <c r="D22" s="216">
        <v>11250</v>
      </c>
      <c r="E22" s="217">
        <f t="shared" si="0"/>
        <v>0.15</v>
      </c>
      <c r="F22" s="153" t="str">
        <f t="shared" si="1"/>
        <v>C</v>
      </c>
      <c r="L22" s="213">
        <f>VLOOKUP(D22,H7:J15,2,1)</f>
        <v>0.15</v>
      </c>
      <c r="M22" s="5" t="str">
        <f>VLOOKUP(D22,H7:J15,3,1)</f>
        <v>C</v>
      </c>
    </row>
    <row r="23" spans="1:13" ht="15.75" customHeight="1">
      <c r="A23" s="214">
        <v>16</v>
      </c>
      <c r="B23" s="215" t="s">
        <v>901</v>
      </c>
      <c r="C23" s="215" t="s">
        <v>879</v>
      </c>
      <c r="D23" s="216">
        <v>11250</v>
      </c>
      <c r="E23" s="217">
        <f t="shared" si="0"/>
        <v>0.15</v>
      </c>
      <c r="F23" s="153" t="str">
        <f t="shared" si="1"/>
        <v>C</v>
      </c>
      <c r="L23" s="213">
        <f>VLOOKUP(D23,H7:J15,2,1)</f>
        <v>0.15</v>
      </c>
      <c r="M23" s="5" t="str">
        <f>VLOOKUP(D23,H7:J15,3,1)</f>
        <v>C</v>
      </c>
    </row>
    <row r="24" spans="1:13" ht="15.75" customHeight="1">
      <c r="A24" s="214">
        <v>17</v>
      </c>
      <c r="B24" s="215" t="s">
        <v>903</v>
      </c>
      <c r="C24" s="215" t="s">
        <v>873</v>
      </c>
      <c r="D24" s="216">
        <v>7500</v>
      </c>
      <c r="E24" s="217">
        <f t="shared" si="0"/>
        <v>0.1</v>
      </c>
      <c r="F24" s="153" t="str">
        <f t="shared" si="1"/>
        <v>B</v>
      </c>
      <c r="L24" s="213">
        <f>VLOOKUP(D24,H7:J15,2,1)</f>
        <v>0.1</v>
      </c>
      <c r="M24" s="5" t="str">
        <f>VLOOKUP(D24,H7:J15,3,1)</f>
        <v>B</v>
      </c>
    </row>
    <row r="25" spans="1:13" ht="15.75" customHeight="1">
      <c r="A25" s="214">
        <v>18</v>
      </c>
      <c r="B25" s="215" t="s">
        <v>922</v>
      </c>
      <c r="C25" s="215" t="s">
        <v>873</v>
      </c>
      <c r="D25" s="216">
        <v>4250</v>
      </c>
      <c r="E25" s="217">
        <f t="shared" si="0"/>
        <v>0.05</v>
      </c>
      <c r="F25" s="153" t="str">
        <f t="shared" si="1"/>
        <v>A</v>
      </c>
      <c r="L25" s="213">
        <f>VLOOKUP(D25,H7:J15,2,1)</f>
        <v>0.05</v>
      </c>
      <c r="M25" s="5" t="str">
        <f>VLOOKUP(D25,H7:J15,3,1)</f>
        <v>A</v>
      </c>
    </row>
    <row r="26" spans="1:13" ht="15.75" customHeight="1">
      <c r="A26" s="214">
        <v>19</v>
      </c>
      <c r="B26" s="215" t="s">
        <v>923</v>
      </c>
      <c r="C26" s="215" t="s">
        <v>873</v>
      </c>
      <c r="D26" s="216">
        <v>5625</v>
      </c>
      <c r="E26" s="217">
        <f t="shared" si="0"/>
        <v>0.1</v>
      </c>
      <c r="F26" s="153" t="str">
        <f t="shared" si="1"/>
        <v>B</v>
      </c>
      <c r="L26" s="213">
        <f>VLOOKUP(D26,H7:J15,2,1)</f>
        <v>0.1</v>
      </c>
      <c r="M26" s="5" t="str">
        <f>VLOOKUP(D26,H7:J15,3,1)</f>
        <v>B</v>
      </c>
    </row>
    <row r="27" spans="1:13" ht="15.75" customHeight="1">
      <c r="A27" s="214">
        <v>20</v>
      </c>
      <c r="B27" s="215" t="s">
        <v>924</v>
      </c>
      <c r="C27" s="215" t="s">
        <v>873</v>
      </c>
      <c r="D27" s="216">
        <v>5625</v>
      </c>
      <c r="E27" s="217">
        <f t="shared" si="0"/>
        <v>0.1</v>
      </c>
      <c r="F27" s="153" t="str">
        <f t="shared" si="1"/>
        <v>B</v>
      </c>
      <c r="L27" s="213">
        <f>VLOOKUP(D27,H7:J15,2,1)</f>
        <v>0.1</v>
      </c>
      <c r="M27" s="5" t="str">
        <f>VLOOKUP(D27,H7:J15,3,1)</f>
        <v>B</v>
      </c>
    </row>
    <row r="28" spans="1:13" ht="15.75" customHeight="1">
      <c r="A28" s="214">
        <v>21</v>
      </c>
      <c r="B28" s="215" t="s">
        <v>925</v>
      </c>
      <c r="C28" s="215" t="s">
        <v>873</v>
      </c>
      <c r="D28" s="216">
        <v>5625</v>
      </c>
      <c r="E28" s="217">
        <f t="shared" si="0"/>
        <v>0.1</v>
      </c>
      <c r="F28" s="153" t="str">
        <f t="shared" si="1"/>
        <v>B</v>
      </c>
      <c r="L28" s="213">
        <f>VLOOKUP(D28,H7:J15,2,1)</f>
        <v>0.1</v>
      </c>
      <c r="M28" s="5" t="str">
        <f>VLOOKUP(D28,H7:J15,3,1)</f>
        <v>B</v>
      </c>
    </row>
    <row r="29" spans="1:13" ht="15.75" customHeight="1">
      <c r="A29" s="214">
        <v>22</v>
      </c>
      <c r="B29" s="215" t="s">
        <v>926</v>
      </c>
      <c r="C29" s="215" t="s">
        <v>320</v>
      </c>
      <c r="D29" s="216">
        <v>10625</v>
      </c>
      <c r="E29" s="217">
        <f t="shared" si="0"/>
        <v>0.15</v>
      </c>
      <c r="F29" s="153" t="str">
        <f t="shared" si="1"/>
        <v>C</v>
      </c>
      <c r="L29" s="213">
        <f>VLOOKUP(D29,H7:J15,2,1)</f>
        <v>0.15</v>
      </c>
      <c r="M29" s="5" t="str">
        <f>VLOOKUP(D29,H7:J15,3,1)</f>
        <v>C</v>
      </c>
    </row>
    <row r="30" spans="1:13" ht="15.75" customHeight="1">
      <c r="A30" s="214">
        <v>23</v>
      </c>
      <c r="B30" s="215" t="s">
        <v>927</v>
      </c>
      <c r="C30" s="215" t="s">
        <v>875</v>
      </c>
      <c r="D30" s="216">
        <v>5625</v>
      </c>
      <c r="E30" s="217">
        <f t="shared" si="0"/>
        <v>0.1</v>
      </c>
      <c r="F30" s="153" t="str">
        <f t="shared" si="1"/>
        <v>B</v>
      </c>
      <c r="L30" s="213">
        <f>VLOOKUP(D30,H7:J15,2,1)</f>
        <v>0.1</v>
      </c>
      <c r="M30" s="5" t="str">
        <f>VLOOKUP(D30,H7:J15,3,1)</f>
        <v>B</v>
      </c>
    </row>
    <row r="31" spans="1:13" ht="15.75" customHeight="1">
      <c r="A31" s="214">
        <v>24</v>
      </c>
      <c r="B31" s="215" t="s">
        <v>928</v>
      </c>
      <c r="C31" s="215" t="s">
        <v>320</v>
      </c>
      <c r="D31" s="216">
        <v>13750</v>
      </c>
      <c r="E31" s="217">
        <f t="shared" si="0"/>
        <v>0.15</v>
      </c>
      <c r="F31" s="153" t="str">
        <f t="shared" si="1"/>
        <v>C</v>
      </c>
      <c r="L31" s="213">
        <f>VLOOKUP(D30,H7:J15,2,1)</f>
        <v>0.1</v>
      </c>
      <c r="M31" s="5" t="str">
        <f>VLOOKUP(D31,H7:J15,3,1)</f>
        <v>C</v>
      </c>
    </row>
    <row r="32" spans="1:13" ht="15.75" customHeight="1">
      <c r="A32" s="214">
        <v>25</v>
      </c>
      <c r="B32" s="215" t="s">
        <v>929</v>
      </c>
      <c r="C32" s="215" t="s">
        <v>320</v>
      </c>
      <c r="D32" s="216">
        <v>9375</v>
      </c>
      <c r="E32" s="217">
        <f t="shared" si="0"/>
        <v>0.1</v>
      </c>
      <c r="F32" s="153" t="str">
        <f t="shared" si="1"/>
        <v>B</v>
      </c>
      <c r="L32" s="213">
        <f>VLOOKUP(D32,H7:J15,2,1)</f>
        <v>0.1</v>
      </c>
      <c r="M32" s="5" t="str">
        <f>VLOOKUP(D32,H7:J15,3,1)</f>
        <v>B</v>
      </c>
    </row>
    <row r="33" spans="1:13" ht="15.75" customHeight="1">
      <c r="A33" s="214">
        <v>26</v>
      </c>
      <c r="B33" s="215" t="s">
        <v>930</v>
      </c>
      <c r="C33" s="215" t="s">
        <v>875</v>
      </c>
      <c r="D33" s="216">
        <v>7500</v>
      </c>
      <c r="E33" s="217">
        <f t="shared" si="0"/>
        <v>0.1</v>
      </c>
      <c r="F33" s="153" t="str">
        <f t="shared" si="1"/>
        <v>B</v>
      </c>
      <c r="L33" s="213">
        <f>VLOOKUP(D33,H7:J15,2,1)</f>
        <v>0.1</v>
      </c>
      <c r="M33" s="5" t="str">
        <f>VLOOKUP(D33,H7:J15,3,1)</f>
        <v>B</v>
      </c>
    </row>
    <row r="34" spans="1:13" ht="15.75" customHeight="1">
      <c r="A34" s="214">
        <v>27</v>
      </c>
      <c r="B34" s="215" t="s">
        <v>931</v>
      </c>
      <c r="C34" s="215" t="s">
        <v>879</v>
      </c>
      <c r="D34" s="216">
        <v>6875</v>
      </c>
      <c r="E34" s="217">
        <f t="shared" si="0"/>
        <v>0.1</v>
      </c>
      <c r="F34" s="153" t="str">
        <f t="shared" si="1"/>
        <v>B</v>
      </c>
      <c r="L34" s="213">
        <f>VLOOKUP(D34,H7:J15,2,1)</f>
        <v>0.1</v>
      </c>
      <c r="M34" s="5" t="str">
        <f>VLOOKUP(D34,H7:J15,3,1)</f>
        <v>B</v>
      </c>
    </row>
    <row r="35" spans="1:13" ht="15.75" customHeight="1">
      <c r="A35" s="214">
        <v>28</v>
      </c>
      <c r="B35" s="215" t="s">
        <v>932</v>
      </c>
      <c r="C35" s="215" t="s">
        <v>885</v>
      </c>
      <c r="D35" s="216">
        <v>10125</v>
      </c>
      <c r="E35" s="217">
        <f t="shared" si="0"/>
        <v>0.15</v>
      </c>
      <c r="F35" s="153" t="str">
        <f t="shared" si="1"/>
        <v>C</v>
      </c>
      <c r="L35" s="213">
        <f>VLOOKUP(D35,H7:J15,2,1)</f>
        <v>0.15</v>
      </c>
      <c r="M35" s="5" t="str">
        <f>VLOOKUP(D35,H7:J13,3,1)</f>
        <v>C</v>
      </c>
    </row>
    <row r="36" spans="1:13" ht="15.75" customHeight="1">
      <c r="A36" s="214">
        <v>29</v>
      </c>
      <c r="B36" s="215" t="s">
        <v>933</v>
      </c>
      <c r="C36" s="215" t="s">
        <v>875</v>
      </c>
      <c r="D36" s="216">
        <v>11250</v>
      </c>
      <c r="E36" s="217">
        <f t="shared" si="0"/>
        <v>0.15</v>
      </c>
      <c r="F36" s="153" t="str">
        <f t="shared" si="1"/>
        <v>C</v>
      </c>
      <c r="L36" s="213">
        <f>VLOOKUP(D36,H7:J15,2,1)</f>
        <v>0.15</v>
      </c>
      <c r="M36" s="5" t="str">
        <f>VLOOKUP(D36,H7:J15,3,1)</f>
        <v>C</v>
      </c>
    </row>
    <row r="37" spans="1:13" ht="15.75" customHeight="1">
      <c r="A37" s="214">
        <v>30</v>
      </c>
      <c r="B37" s="215" t="s">
        <v>934</v>
      </c>
      <c r="C37" s="215" t="s">
        <v>888</v>
      </c>
      <c r="D37" s="216">
        <v>11250</v>
      </c>
      <c r="E37" s="217">
        <f t="shared" si="0"/>
        <v>0.15</v>
      </c>
      <c r="F37" s="153" t="str">
        <f t="shared" si="1"/>
        <v>C</v>
      </c>
      <c r="L37" s="213">
        <f>VLOOKUP(D37,H7:J15,2,1)</f>
        <v>0.15</v>
      </c>
      <c r="M37" s="5" t="str">
        <f>VLOOKUP(D37,H7:J15,3,1)</f>
        <v>C</v>
      </c>
    </row>
    <row r="38" spans="1:13" ht="15.75" customHeight="1">
      <c r="A38" s="214">
        <v>31</v>
      </c>
      <c r="B38" s="215" t="s">
        <v>935</v>
      </c>
      <c r="C38" s="215" t="s">
        <v>888</v>
      </c>
      <c r="D38" s="216">
        <v>5000</v>
      </c>
      <c r="E38" s="217">
        <f t="shared" si="0"/>
        <v>0.05</v>
      </c>
      <c r="F38" s="153" t="str">
        <f t="shared" si="1"/>
        <v>A</v>
      </c>
      <c r="L38" s="213">
        <f>VLOOKUP(D38,H7:J15,2,1)</f>
        <v>0.05</v>
      </c>
      <c r="M38" s="5" t="str">
        <f>VLOOKUP(D38,H7:J15,3,1)</f>
        <v>A</v>
      </c>
    </row>
    <row r="39" spans="1:13" ht="15.75" customHeight="1">
      <c r="A39" s="214">
        <v>32</v>
      </c>
      <c r="B39" s="215" t="s">
        <v>936</v>
      </c>
      <c r="C39" s="215" t="s">
        <v>888</v>
      </c>
      <c r="D39" s="216">
        <v>6250</v>
      </c>
      <c r="E39" s="217">
        <f t="shared" si="0"/>
        <v>0.1</v>
      </c>
      <c r="F39" s="153" t="str">
        <f t="shared" si="1"/>
        <v>B</v>
      </c>
      <c r="L39" s="213">
        <f>VLOOKUP(D39,H7:J15,2,1)</f>
        <v>0.1</v>
      </c>
      <c r="M39" s="5" t="str">
        <f>VLOOKUP(D39,H7:J15,3,1)</f>
        <v>B</v>
      </c>
    </row>
    <row r="40" spans="1:13" ht="15.75" customHeight="1">
      <c r="A40" s="214">
        <v>33</v>
      </c>
      <c r="B40" s="215" t="s">
        <v>937</v>
      </c>
      <c r="C40" s="215" t="s">
        <v>873</v>
      </c>
      <c r="D40" s="216">
        <v>6625</v>
      </c>
      <c r="E40" s="217">
        <f t="shared" si="0"/>
        <v>0.1</v>
      </c>
      <c r="F40" s="153" t="str">
        <f t="shared" si="1"/>
        <v>B</v>
      </c>
      <c r="L40" s="213">
        <f>VLOOKUP(D40,H7:J15,2,1)</f>
        <v>0.1</v>
      </c>
      <c r="M40" s="5" t="str">
        <f>VLOOKUP(D40,H7:J15,3,1)</f>
        <v>B</v>
      </c>
    </row>
    <row r="41" spans="1:13" ht="15.75" customHeight="1">
      <c r="A41" s="214">
        <v>34</v>
      </c>
      <c r="B41" s="215" t="s">
        <v>926</v>
      </c>
      <c r="C41" s="215" t="s">
        <v>885</v>
      </c>
      <c r="D41" s="216">
        <v>8375</v>
      </c>
      <c r="E41" s="217">
        <f t="shared" si="0"/>
        <v>0.1</v>
      </c>
      <c r="F41" s="153" t="str">
        <f t="shared" si="1"/>
        <v>B</v>
      </c>
      <c r="L41" s="213">
        <f>VLOOKUP(D41,H7:J15,2,1)</f>
        <v>0.1</v>
      </c>
      <c r="M41" s="5" t="str">
        <f>VLOOKUP(D41,H7:J15,3,1)</f>
        <v>B</v>
      </c>
    </row>
    <row r="42" spans="1:13" ht="15.75" customHeight="1">
      <c r="A42" s="214">
        <v>35</v>
      </c>
      <c r="B42" s="215" t="s">
        <v>891</v>
      </c>
      <c r="C42" s="215" t="s">
        <v>265</v>
      </c>
      <c r="D42" s="216">
        <v>17500</v>
      </c>
      <c r="E42" s="217">
        <f t="shared" si="0"/>
        <v>0.2</v>
      </c>
      <c r="F42" s="153" t="str">
        <f t="shared" si="1"/>
        <v>D</v>
      </c>
      <c r="L42" s="213">
        <f>VLOOKUP(D42,H7:J15,2,1)</f>
        <v>0.2</v>
      </c>
      <c r="M42" s="5" t="str">
        <f>VLOOKUP(D42,H7:J15,3,1)</f>
        <v>D</v>
      </c>
    </row>
    <row r="43" spans="1:13" ht="15.75" customHeight="1">
      <c r="A43" s="214">
        <v>36</v>
      </c>
      <c r="B43" s="215" t="s">
        <v>938</v>
      </c>
      <c r="C43" s="215" t="s">
        <v>265</v>
      </c>
      <c r="D43" s="216">
        <v>17500</v>
      </c>
      <c r="E43" s="217">
        <f t="shared" si="0"/>
        <v>0.2</v>
      </c>
      <c r="F43" s="153" t="str">
        <f t="shared" si="1"/>
        <v>D</v>
      </c>
      <c r="L43" s="213">
        <f>VLOOKUP(D43,H7:J15,2,1)</f>
        <v>0.2</v>
      </c>
      <c r="M43" s="5" t="str">
        <f>VLOOKUP(D43,H7:J15,3,1)</f>
        <v>D</v>
      </c>
    </row>
    <row r="44" spans="1:13" ht="15.75" customHeight="1">
      <c r="A44" s="214">
        <v>37</v>
      </c>
      <c r="B44" s="215" t="s">
        <v>895</v>
      </c>
      <c r="C44" s="215" t="s">
        <v>265</v>
      </c>
      <c r="D44" s="216">
        <v>17500</v>
      </c>
      <c r="E44" s="217">
        <f t="shared" si="0"/>
        <v>0.2</v>
      </c>
      <c r="F44" s="153" t="str">
        <f t="shared" si="1"/>
        <v>D</v>
      </c>
      <c r="L44" s="213">
        <f>VLOOKUP(D44,H7:J15,2,1)</f>
        <v>0.2</v>
      </c>
      <c r="M44" s="5" t="str">
        <f>VLOOKUP(D44,H7:J15,3,1)</f>
        <v>D</v>
      </c>
    </row>
    <row r="45" spans="1:13" ht="15.75" customHeight="1">
      <c r="A45" s="214">
        <v>38</v>
      </c>
      <c r="B45" s="215" t="s">
        <v>541</v>
      </c>
      <c r="C45" s="215" t="s">
        <v>320</v>
      </c>
      <c r="D45" s="216">
        <v>7500</v>
      </c>
      <c r="E45" s="217">
        <f t="shared" si="0"/>
        <v>0.1</v>
      </c>
      <c r="F45" s="153" t="str">
        <f t="shared" si="1"/>
        <v>B</v>
      </c>
      <c r="L45" s="213">
        <f>VLOOKUP(D45,H7:J15,2,1)</f>
        <v>0.1</v>
      </c>
      <c r="M45" s="5" t="str">
        <f>VLOOKUP(D45,H7:J15,3,1)</f>
        <v>B</v>
      </c>
    </row>
    <row r="46" spans="1:13" ht="15.75" customHeight="1">
      <c r="A46" s="214">
        <v>39</v>
      </c>
      <c r="B46" s="215" t="s">
        <v>939</v>
      </c>
      <c r="C46" s="215" t="s">
        <v>879</v>
      </c>
      <c r="D46" s="216">
        <v>5625</v>
      </c>
      <c r="E46" s="217">
        <f t="shared" si="0"/>
        <v>0.1</v>
      </c>
      <c r="F46" s="153" t="str">
        <f t="shared" si="1"/>
        <v>B</v>
      </c>
      <c r="L46" s="213">
        <f>VLOOKUP(D46,H7:J15,2,1)</f>
        <v>0.1</v>
      </c>
      <c r="M46" s="5" t="str">
        <f>VLOOKUP(D46,H7:J15,3,1)</f>
        <v>B</v>
      </c>
    </row>
    <row r="47" spans="1:13" ht="15.75" customHeight="1">
      <c r="A47" s="214">
        <v>40</v>
      </c>
      <c r="B47" s="215" t="s">
        <v>926</v>
      </c>
      <c r="C47" s="215" t="s">
        <v>875</v>
      </c>
      <c r="D47" s="216">
        <v>9500</v>
      </c>
      <c r="E47" s="217">
        <f t="shared" si="0"/>
        <v>0.1</v>
      </c>
      <c r="F47" s="153" t="str">
        <f t="shared" si="1"/>
        <v>B</v>
      </c>
      <c r="L47" s="213">
        <f>VLOOKUP(D47,H7:J15,2,1)</f>
        <v>0.1</v>
      </c>
      <c r="M47" s="5" t="str">
        <f>VLOOKUP(D47,H7:J15,3,1)</f>
        <v>B</v>
      </c>
    </row>
    <row r="48" spans="1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4:F4"/>
    <mergeCell ref="A5:F5"/>
  </mergeCell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8000"/>
  </sheetPr>
  <dimension ref="A1:J1000"/>
  <sheetViews>
    <sheetView workbookViewId="0"/>
  </sheetViews>
  <sheetFormatPr defaultColWidth="14.44140625" defaultRowHeight="15" customHeight="1"/>
  <cols>
    <col min="1" max="1" width="11.33203125" customWidth="1"/>
    <col min="2" max="2" width="14.6640625" customWidth="1"/>
    <col min="3" max="3" width="11.6640625" customWidth="1"/>
    <col min="4" max="26" width="8" customWidth="1"/>
  </cols>
  <sheetData>
    <row r="1" spans="1:10" ht="18.75" customHeight="1">
      <c r="A1" s="300" t="s">
        <v>940</v>
      </c>
      <c r="B1" s="301"/>
      <c r="C1" s="301"/>
      <c r="D1" s="301"/>
      <c r="E1" s="301"/>
      <c r="F1" s="301"/>
      <c r="G1" s="301"/>
      <c r="H1" s="301"/>
      <c r="I1" s="14"/>
      <c r="J1" s="14"/>
    </row>
    <row r="2" spans="1:10" ht="14.4">
      <c r="A2" s="303" t="s">
        <v>941</v>
      </c>
      <c r="B2" s="301"/>
      <c r="C2" s="301"/>
      <c r="D2" s="301"/>
      <c r="E2" s="301"/>
      <c r="F2" s="301"/>
      <c r="G2" s="301"/>
      <c r="H2" s="301"/>
    </row>
    <row r="4" spans="1:10" ht="14.4">
      <c r="A4" s="105" t="s">
        <v>942</v>
      </c>
      <c r="B4" s="105" t="s">
        <v>943</v>
      </c>
      <c r="C4" s="105" t="s">
        <v>944</v>
      </c>
      <c r="D4" s="105" t="s">
        <v>945</v>
      </c>
    </row>
    <row r="5" spans="1:10" ht="14.4">
      <c r="A5" s="220">
        <v>21916</v>
      </c>
      <c r="B5" s="220">
        <v>25698</v>
      </c>
      <c r="C5" s="105" t="s">
        <v>946</v>
      </c>
      <c r="D5" s="63">
        <f>DATEDIF(A5,B5,"d")</f>
        <v>3782</v>
      </c>
      <c r="E5" s="221" t="s">
        <v>947</v>
      </c>
      <c r="H5" s="5">
        <f>DATEDIF(A5,B5,"d")</f>
        <v>3782</v>
      </c>
      <c r="I5" s="5">
        <f>DATEDIF(A10,B10,"md")</f>
        <v>9</v>
      </c>
    </row>
    <row r="6" spans="1:10" ht="14.4">
      <c r="A6" s="220">
        <v>21916</v>
      </c>
      <c r="B6" s="220">
        <v>25698</v>
      </c>
      <c r="C6" s="105" t="s">
        <v>948</v>
      </c>
      <c r="D6" s="63">
        <f>DATEDIF(A6,B6,"m")</f>
        <v>124</v>
      </c>
      <c r="E6" s="221" t="s">
        <v>949</v>
      </c>
    </row>
    <row r="7" spans="1:10" ht="14.4">
      <c r="A7" s="220">
        <v>21916</v>
      </c>
      <c r="B7" s="220">
        <v>25698</v>
      </c>
      <c r="C7" s="105" t="s">
        <v>950</v>
      </c>
      <c r="D7" s="63">
        <f>DATEDIF(A7,B7,"y")</f>
        <v>10</v>
      </c>
      <c r="E7" s="221" t="s">
        <v>951</v>
      </c>
    </row>
    <row r="8" spans="1:10" ht="14.4">
      <c r="A8" s="220">
        <v>21916</v>
      </c>
      <c r="B8" s="220">
        <v>25698</v>
      </c>
      <c r="C8" s="105" t="s">
        <v>952</v>
      </c>
      <c r="D8" s="63">
        <f>DATEDIF(A8,B8,"yd")</f>
        <v>130</v>
      </c>
      <c r="E8" s="221" t="s">
        <v>953</v>
      </c>
      <c r="H8" s="5">
        <f>DATEDIF(A8,B8,"yd")</f>
        <v>130</v>
      </c>
      <c r="J8" s="5">
        <f>DATEDIF(A8,B8,"yd")</f>
        <v>130</v>
      </c>
    </row>
    <row r="9" spans="1:10" ht="14.4">
      <c r="A9" s="220">
        <v>21916</v>
      </c>
      <c r="B9" s="220">
        <v>25698</v>
      </c>
      <c r="C9" s="105" t="s">
        <v>954</v>
      </c>
      <c r="D9" s="63">
        <f>DATEDIF(A9,B9,"ym")</f>
        <v>4</v>
      </c>
      <c r="E9" s="221" t="s">
        <v>955</v>
      </c>
      <c r="J9" s="5">
        <f>DATEDIF(A8,B8,"ym")</f>
        <v>4</v>
      </c>
    </row>
    <row r="10" spans="1:10" ht="14.4">
      <c r="A10" s="220">
        <v>21916</v>
      </c>
      <c r="B10" s="220">
        <v>25698</v>
      </c>
      <c r="C10" s="105" t="s">
        <v>956</v>
      </c>
      <c r="D10" s="63">
        <f>DATEDIF(A10,B10,"md")</f>
        <v>9</v>
      </c>
      <c r="E10" s="221" t="s">
        <v>957</v>
      </c>
      <c r="J10" s="5">
        <f>DATEDIF(A10,B10,"md")</f>
        <v>9</v>
      </c>
    </row>
    <row r="12" spans="1:10" ht="15.75" customHeight="1">
      <c r="A12" s="222" t="s">
        <v>958</v>
      </c>
      <c r="B12" s="223"/>
      <c r="C12" s="223"/>
      <c r="D12" s="223"/>
      <c r="E12" s="223"/>
      <c r="F12" s="223"/>
      <c r="G12" s="223"/>
    </row>
    <row r="13" spans="1:10" ht="14.4">
      <c r="A13" s="74" t="s">
        <v>959</v>
      </c>
    </row>
    <row r="14" spans="1:10" ht="14.4">
      <c r="A14" s="74" t="s">
        <v>960</v>
      </c>
    </row>
    <row r="16" spans="1:10" ht="15.75" customHeight="1">
      <c r="A16" s="222" t="s">
        <v>961</v>
      </c>
      <c r="B16" s="223"/>
      <c r="C16" s="223"/>
      <c r="D16" s="223"/>
      <c r="E16" s="223"/>
      <c r="F16" s="223"/>
      <c r="G16" s="223"/>
    </row>
    <row r="17" spans="1:7" ht="14.4">
      <c r="A17" s="5" t="s">
        <v>962</v>
      </c>
    </row>
    <row r="18" spans="1:7" ht="14.4">
      <c r="A18" s="74" t="s">
        <v>963</v>
      </c>
    </row>
    <row r="19" spans="1:7" ht="14.4">
      <c r="A19" s="5" t="s">
        <v>964</v>
      </c>
    </row>
    <row r="20" spans="1:7" ht="14.4">
      <c r="A20" s="5" t="s">
        <v>965</v>
      </c>
    </row>
    <row r="21" spans="1:7" ht="15.75" customHeight="1">
      <c r="A21" s="5" t="s">
        <v>966</v>
      </c>
    </row>
    <row r="22" spans="1:7" ht="15.75" customHeight="1">
      <c r="A22" s="7" t="s">
        <v>967</v>
      </c>
      <c r="B22" s="5" t="s">
        <v>968</v>
      </c>
    </row>
    <row r="23" spans="1:7" ht="15.75" customHeight="1">
      <c r="A23" s="7" t="s">
        <v>969</v>
      </c>
      <c r="B23" s="5" t="s">
        <v>970</v>
      </c>
    </row>
    <row r="24" spans="1:7" ht="15.75" customHeight="1">
      <c r="A24" s="7" t="s">
        <v>971</v>
      </c>
      <c r="B24" s="5" t="s">
        <v>972</v>
      </c>
    </row>
    <row r="25" spans="1:7" ht="15.75" customHeight="1">
      <c r="A25" s="7" t="s">
        <v>973</v>
      </c>
      <c r="B25" s="5" t="s">
        <v>974</v>
      </c>
    </row>
    <row r="26" spans="1:7" ht="15.75" customHeight="1">
      <c r="A26" s="7" t="s">
        <v>975</v>
      </c>
      <c r="B26" s="5" t="s">
        <v>976</v>
      </c>
    </row>
    <row r="27" spans="1:7" ht="15.75" customHeight="1">
      <c r="A27" s="7" t="s">
        <v>977</v>
      </c>
      <c r="B27" s="5" t="s">
        <v>978</v>
      </c>
    </row>
    <row r="28" spans="1:7" ht="15.75" customHeight="1"/>
    <row r="29" spans="1:7" ht="15.75" customHeight="1">
      <c r="A29" s="222" t="s">
        <v>979</v>
      </c>
      <c r="B29" s="223"/>
      <c r="C29" s="223"/>
      <c r="D29" s="223"/>
      <c r="E29" s="223"/>
      <c r="F29" s="223"/>
      <c r="G29" s="223"/>
    </row>
    <row r="30" spans="1:7" ht="15.75" customHeight="1">
      <c r="A30" s="31" t="s">
        <v>980</v>
      </c>
      <c r="B30" s="31"/>
      <c r="C30" s="31"/>
      <c r="D30" s="31"/>
      <c r="E30" s="31"/>
      <c r="F30" s="31"/>
      <c r="G30" s="31"/>
    </row>
    <row r="31" spans="1:7" ht="15.75" customHeight="1"/>
    <row r="32" spans="1:7" ht="15.75" customHeight="1"/>
    <row r="33" spans="1:6" ht="15.75" customHeight="1"/>
    <row r="34" spans="1:6" ht="15.75" customHeight="1">
      <c r="E34" s="5">
        <f ca="1">DATEDIF(C35,TODAY(),"y")</f>
        <v>66</v>
      </c>
      <c r="F34" s="5">
        <f ca="1">DATEDIF(C35,TODAY(),"md")</f>
        <v>26</v>
      </c>
    </row>
    <row r="35" spans="1:6" ht="15.75" customHeight="1">
      <c r="B35" s="224" t="s">
        <v>981</v>
      </c>
      <c r="C35" s="225">
        <v>21916</v>
      </c>
      <c r="E35" s="5">
        <f ca="1">DATEDIF(C35,TODAY(),"ym")</f>
        <v>1</v>
      </c>
    </row>
    <row r="36" spans="1:6" ht="15.75" customHeight="1"/>
    <row r="37" spans="1:6" ht="15.75" customHeight="1">
      <c r="B37" s="224" t="s">
        <v>982</v>
      </c>
      <c r="C37" s="226">
        <f ca="1">DATEDIF(C35,TODAY(),"y")</f>
        <v>66</v>
      </c>
      <c r="D37" s="221" t="s">
        <v>983</v>
      </c>
    </row>
    <row r="38" spans="1:6" ht="15.75" customHeight="1">
      <c r="B38" s="224" t="s">
        <v>984</v>
      </c>
      <c r="C38" s="226">
        <f ca="1">DATEDIF(C35,TODAY(),"ym")</f>
        <v>1</v>
      </c>
      <c r="D38" s="221" t="s">
        <v>985</v>
      </c>
    </row>
    <row r="39" spans="1:6" ht="15.75" customHeight="1">
      <c r="B39" s="224" t="s">
        <v>986</v>
      </c>
      <c r="C39" s="226">
        <f ca="1">DATEDIF(C35,TODAY(),"md")</f>
        <v>26</v>
      </c>
      <c r="D39" s="221" t="s">
        <v>987</v>
      </c>
    </row>
    <row r="40" spans="1:6" ht="15.75" customHeight="1"/>
    <row r="41" spans="1:6" ht="15.75" customHeight="1">
      <c r="B41" s="5" t="s">
        <v>988</v>
      </c>
    </row>
    <row r="42" spans="1:6" ht="15.75" customHeight="1">
      <c r="B42" s="221" t="str">
        <f ca="1">"Age is "&amp;DATEDIF(C35,TODAY(),"y")&amp;" Years, "&amp;DATEDIF(C35,TODAY(),"ym")&amp;" Months and "&amp;DATEDIF(C35,TODAY(),"md")&amp;" Days"</f>
        <v>Age is 66 Years, 1 Months and 26 Days</v>
      </c>
      <c r="C42" s="227"/>
    </row>
    <row r="43" spans="1:6" ht="15.75" customHeight="1">
      <c r="A43" s="228" t="s">
        <v>989</v>
      </c>
    </row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EA9999"/>
  </sheetPr>
  <dimension ref="A1:J1000"/>
  <sheetViews>
    <sheetView workbookViewId="0"/>
  </sheetViews>
  <sheetFormatPr defaultColWidth="14.44140625" defaultRowHeight="15" customHeight="1"/>
  <cols>
    <col min="1" max="26" width="8" customWidth="1"/>
  </cols>
  <sheetData>
    <row r="1" spans="1:10" ht="18.75" customHeight="1">
      <c r="A1" s="300" t="s">
        <v>990</v>
      </c>
      <c r="B1" s="301"/>
      <c r="C1" s="301"/>
      <c r="D1" s="301"/>
      <c r="E1" s="301"/>
      <c r="F1" s="301"/>
      <c r="G1" s="301"/>
      <c r="H1" s="301"/>
      <c r="I1" s="301"/>
      <c r="J1" s="301"/>
    </row>
    <row r="2" spans="1:10" ht="14.4">
      <c r="A2" s="303" t="s">
        <v>991</v>
      </c>
      <c r="B2" s="301"/>
      <c r="C2" s="301"/>
      <c r="D2" s="301"/>
      <c r="E2" s="301"/>
      <c r="F2" s="301"/>
      <c r="G2" s="301"/>
      <c r="H2" s="301"/>
      <c r="I2" s="301"/>
      <c r="J2" s="301"/>
    </row>
    <row r="4" spans="1:10" ht="15.75" customHeight="1">
      <c r="H4" s="229"/>
    </row>
    <row r="5" spans="1:10" ht="27" customHeight="1">
      <c r="A5" s="230" t="s">
        <v>63</v>
      </c>
      <c r="B5" s="231" t="s">
        <v>992</v>
      </c>
      <c r="C5" s="231" t="s">
        <v>993</v>
      </c>
      <c r="D5" s="231" t="s">
        <v>411</v>
      </c>
      <c r="E5" s="231" t="s">
        <v>994</v>
      </c>
      <c r="F5" s="231" t="s">
        <v>995</v>
      </c>
      <c r="G5" s="231" t="s">
        <v>996</v>
      </c>
      <c r="H5" s="232" t="s">
        <v>997</v>
      </c>
    </row>
    <row r="6" spans="1:10" ht="14.4">
      <c r="A6" s="233" t="s">
        <v>829</v>
      </c>
      <c r="B6" s="105">
        <v>200</v>
      </c>
      <c r="C6" s="105">
        <v>3000</v>
      </c>
      <c r="D6" s="105" t="s">
        <v>998</v>
      </c>
      <c r="E6" s="234">
        <v>4.5</v>
      </c>
      <c r="F6" s="105">
        <v>4</v>
      </c>
      <c r="G6" s="105">
        <v>3</v>
      </c>
      <c r="H6" s="235">
        <f t="shared" ref="H6:H21" si="0">E6*F6*G6</f>
        <v>54</v>
      </c>
    </row>
    <row r="7" spans="1:10" ht="14.4">
      <c r="A7" s="233" t="s">
        <v>999</v>
      </c>
      <c r="B7" s="105">
        <v>100</v>
      </c>
      <c r="C7" s="105">
        <v>2000</v>
      </c>
      <c r="D7" s="105" t="s">
        <v>998</v>
      </c>
      <c r="E7" s="234">
        <v>2</v>
      </c>
      <c r="F7" s="105">
        <v>15</v>
      </c>
      <c r="G7" s="105">
        <v>2</v>
      </c>
      <c r="H7" s="235">
        <f t="shared" si="0"/>
        <v>60</v>
      </c>
    </row>
    <row r="8" spans="1:10" ht="14.4">
      <c r="A8" s="233" t="s">
        <v>1000</v>
      </c>
      <c r="B8" s="105">
        <v>60</v>
      </c>
      <c r="C8" s="105"/>
      <c r="D8" s="105"/>
      <c r="E8" s="234"/>
      <c r="F8" s="105"/>
      <c r="G8" s="105"/>
      <c r="H8" s="235">
        <f t="shared" si="0"/>
        <v>0</v>
      </c>
    </row>
    <row r="9" spans="1:10" ht="14.4">
      <c r="A9" s="233" t="s">
        <v>1001</v>
      </c>
      <c r="B9" s="105">
        <v>10</v>
      </c>
      <c r="C9" s="105">
        <v>8000</v>
      </c>
      <c r="D9" s="105" t="s">
        <v>1002</v>
      </c>
      <c r="E9" s="234">
        <v>0.8</v>
      </c>
      <c r="F9" s="105">
        <v>25</v>
      </c>
      <c r="G9" s="105">
        <v>6</v>
      </c>
      <c r="H9" s="235">
        <f t="shared" si="0"/>
        <v>120</v>
      </c>
    </row>
    <row r="10" spans="1:10" ht="14.4">
      <c r="A10" s="233" t="s">
        <v>829</v>
      </c>
      <c r="B10" s="105">
        <v>80</v>
      </c>
      <c r="C10" s="105">
        <v>1000</v>
      </c>
      <c r="D10" s="105" t="s">
        <v>998</v>
      </c>
      <c r="E10" s="234">
        <v>0.2</v>
      </c>
      <c r="F10" s="105">
        <v>40</v>
      </c>
      <c r="G10" s="105">
        <v>3</v>
      </c>
      <c r="H10" s="235">
        <f t="shared" si="0"/>
        <v>24</v>
      </c>
    </row>
    <row r="11" spans="1:10" ht="14.4">
      <c r="A11" s="233" t="s">
        <v>1000</v>
      </c>
      <c r="B11" s="105">
        <v>100</v>
      </c>
      <c r="C11" s="105" t="s">
        <v>1003</v>
      </c>
      <c r="D11" s="105" t="s">
        <v>998</v>
      </c>
      <c r="E11" s="234">
        <v>1.25</v>
      </c>
      <c r="F11" s="105">
        <v>10</v>
      </c>
      <c r="G11" s="105">
        <v>4</v>
      </c>
      <c r="H11" s="235">
        <f t="shared" si="0"/>
        <v>50</v>
      </c>
    </row>
    <row r="12" spans="1:10" ht="14.4">
      <c r="A12" s="233" t="s">
        <v>1000</v>
      </c>
      <c r="B12" s="105">
        <v>200</v>
      </c>
      <c r="C12" s="105">
        <v>3000</v>
      </c>
      <c r="D12" s="105" t="s">
        <v>998</v>
      </c>
      <c r="E12" s="234">
        <v>2.5</v>
      </c>
      <c r="F12" s="105">
        <v>15</v>
      </c>
      <c r="G12" s="105">
        <v>0</v>
      </c>
      <c r="H12" s="235">
        <f t="shared" si="0"/>
        <v>0</v>
      </c>
    </row>
    <row r="13" spans="1:10" ht="14.4">
      <c r="A13" s="233" t="s">
        <v>1001</v>
      </c>
      <c r="B13" s="105">
        <v>25</v>
      </c>
      <c r="C13" s="105" t="s">
        <v>1003</v>
      </c>
      <c r="D13" s="105" t="s">
        <v>1002</v>
      </c>
      <c r="E13" s="234">
        <v>0.5</v>
      </c>
      <c r="F13" s="105">
        <v>10</v>
      </c>
      <c r="G13" s="105">
        <v>3</v>
      </c>
      <c r="H13" s="235">
        <f t="shared" si="0"/>
        <v>15</v>
      </c>
    </row>
    <row r="14" spans="1:10" ht="14.4">
      <c r="A14" s="233" t="s">
        <v>829</v>
      </c>
      <c r="B14" s="105">
        <v>200</v>
      </c>
      <c r="C14" s="105">
        <v>3000</v>
      </c>
      <c r="D14" s="105" t="s">
        <v>1002</v>
      </c>
      <c r="E14" s="234">
        <v>5</v>
      </c>
      <c r="F14" s="105">
        <v>3</v>
      </c>
      <c r="G14" s="105">
        <v>2</v>
      </c>
      <c r="H14" s="235">
        <f t="shared" si="0"/>
        <v>30</v>
      </c>
    </row>
    <row r="15" spans="1:10" ht="14.4">
      <c r="A15" s="233" t="s">
        <v>999</v>
      </c>
      <c r="B15" s="105">
        <v>100</v>
      </c>
      <c r="C15" s="105">
        <v>2000</v>
      </c>
      <c r="D15" s="105" t="s">
        <v>1002</v>
      </c>
      <c r="E15" s="234">
        <v>1.8</v>
      </c>
      <c r="F15" s="105">
        <v>20</v>
      </c>
      <c r="G15" s="105">
        <v>5</v>
      </c>
      <c r="H15" s="235">
        <f t="shared" si="0"/>
        <v>180</v>
      </c>
    </row>
    <row r="16" spans="1:10" ht="14.4">
      <c r="A16" s="233" t="s">
        <v>829</v>
      </c>
      <c r="B16" s="105">
        <v>100</v>
      </c>
      <c r="C16" s="105" t="s">
        <v>1003</v>
      </c>
      <c r="D16" s="105" t="s">
        <v>1002</v>
      </c>
      <c r="E16" s="234">
        <v>0.25</v>
      </c>
      <c r="F16" s="105">
        <v>10</v>
      </c>
      <c r="G16" s="105">
        <v>5</v>
      </c>
      <c r="H16" s="235">
        <f t="shared" si="0"/>
        <v>12.5</v>
      </c>
    </row>
    <row r="17" spans="1:9" ht="14.4">
      <c r="A17" s="233" t="s">
        <v>829</v>
      </c>
      <c r="B17" s="105">
        <v>10</v>
      </c>
      <c r="C17" s="105">
        <v>800</v>
      </c>
      <c r="D17" s="105" t="s">
        <v>998</v>
      </c>
      <c r="E17" s="234">
        <v>0.2</v>
      </c>
      <c r="F17" s="105">
        <v>25</v>
      </c>
      <c r="G17" s="105">
        <v>2</v>
      </c>
      <c r="H17" s="235">
        <f t="shared" si="0"/>
        <v>10</v>
      </c>
    </row>
    <row r="18" spans="1:9" ht="14.4">
      <c r="A18" s="233" t="s">
        <v>829</v>
      </c>
      <c r="B18" s="105">
        <v>60</v>
      </c>
      <c r="C18" s="105">
        <v>1000</v>
      </c>
      <c r="D18" s="105" t="s">
        <v>1002</v>
      </c>
      <c r="E18" s="234">
        <v>0.15</v>
      </c>
      <c r="F18" s="105">
        <v>25</v>
      </c>
      <c r="G18" s="105">
        <v>0</v>
      </c>
      <c r="H18" s="235">
        <f t="shared" si="0"/>
        <v>0</v>
      </c>
    </row>
    <row r="19" spans="1:9" ht="14.4">
      <c r="A19" s="233" t="s">
        <v>829</v>
      </c>
      <c r="B19" s="105">
        <v>80</v>
      </c>
      <c r="C19" s="105">
        <v>1000</v>
      </c>
      <c r="D19" s="105" t="s">
        <v>1002</v>
      </c>
      <c r="E19" s="234">
        <v>0.2</v>
      </c>
      <c r="F19" s="105">
        <v>30</v>
      </c>
      <c r="G19" s="105">
        <v>2</v>
      </c>
      <c r="H19" s="235">
        <f t="shared" si="0"/>
        <v>12</v>
      </c>
    </row>
    <row r="20" spans="1:9" ht="14.4">
      <c r="A20" s="233" t="s">
        <v>829</v>
      </c>
      <c r="B20" s="105">
        <v>100</v>
      </c>
      <c r="C20" s="105">
        <v>2000</v>
      </c>
      <c r="D20" s="105" t="s">
        <v>998</v>
      </c>
      <c r="E20" s="234">
        <v>0.8</v>
      </c>
      <c r="F20" s="105">
        <v>10</v>
      </c>
      <c r="G20" s="105">
        <v>5</v>
      </c>
      <c r="H20" s="235">
        <f t="shared" si="0"/>
        <v>40</v>
      </c>
    </row>
    <row r="21" spans="1:9" ht="15.75" customHeight="1">
      <c r="A21" s="236" t="s">
        <v>829</v>
      </c>
      <c r="B21" s="237">
        <v>40</v>
      </c>
      <c r="C21" s="237">
        <v>1000</v>
      </c>
      <c r="D21" s="237" t="s">
        <v>998</v>
      </c>
      <c r="E21" s="238">
        <v>0.1</v>
      </c>
      <c r="F21" s="237">
        <v>20</v>
      </c>
      <c r="G21" s="237">
        <v>5</v>
      </c>
      <c r="H21" s="235">
        <f t="shared" si="0"/>
        <v>10</v>
      </c>
    </row>
    <row r="22" spans="1:9" ht="15.75" customHeight="1"/>
    <row r="23" spans="1:9" ht="15.75" customHeight="1">
      <c r="A23" s="5" t="s">
        <v>1004</v>
      </c>
    </row>
    <row r="24" spans="1:9" ht="15.75" customHeight="1"/>
    <row r="25" spans="1:9" ht="15.75" customHeight="1">
      <c r="D25" s="239" t="s">
        <v>411</v>
      </c>
      <c r="E25" s="240" t="s">
        <v>1005</v>
      </c>
    </row>
    <row r="26" spans="1:9" ht="15.75" customHeight="1">
      <c r="C26" s="241" t="s">
        <v>1006</v>
      </c>
      <c r="D26" s="242" t="s">
        <v>1007</v>
      </c>
    </row>
    <row r="27" spans="1:9" ht="15.75" customHeight="1"/>
    <row r="28" spans="1:9" ht="15.75" customHeight="1">
      <c r="A28" s="31"/>
      <c r="B28" s="31"/>
      <c r="C28" s="241" t="str">
        <f>"The Average cost of "&amp;D26&amp;" is : "</f>
        <v xml:space="preserve">The Average cost of sunbeam is : </v>
      </c>
      <c r="D28" s="243">
        <f>DAVERAGE(A5:H21,E5,D25:D26)</f>
        <v>1.2428571428571427</v>
      </c>
      <c r="E28" s="221" t="s">
        <v>1008</v>
      </c>
    </row>
    <row r="29" spans="1:9" ht="15.75" customHeight="1"/>
    <row r="30" spans="1:9" ht="15.75" customHeight="1">
      <c r="A30" s="222" t="s">
        <v>1009</v>
      </c>
      <c r="B30" s="222"/>
      <c r="C30" s="222"/>
      <c r="D30" s="222"/>
      <c r="E30" s="222"/>
      <c r="F30" s="222"/>
      <c r="G30" s="222"/>
      <c r="H30" s="222"/>
      <c r="I30" s="222"/>
    </row>
    <row r="31" spans="1:9" ht="15.75" customHeight="1"/>
    <row r="32" spans="1:9" ht="15.75" customHeight="1">
      <c r="A32" s="244" t="s">
        <v>1010</v>
      </c>
    </row>
    <row r="33" spans="1:9" ht="15.75" customHeight="1"/>
    <row r="34" spans="1:9" ht="15.75" customHeight="1">
      <c r="D34" s="245" t="s">
        <v>63</v>
      </c>
      <c r="E34" s="246" t="s">
        <v>411</v>
      </c>
    </row>
    <row r="35" spans="1:9" ht="15.75" customHeight="1">
      <c r="D35" s="247" t="s">
        <v>829</v>
      </c>
      <c r="E35" s="248" t="s">
        <v>998</v>
      </c>
    </row>
    <row r="36" spans="1:9" ht="15.75" customHeight="1"/>
    <row r="37" spans="1:9" ht="15.75" customHeight="1">
      <c r="C37" s="241" t="str">
        <f>"The average of "&amp;E35&amp;" "&amp;D35&amp;" is : "</f>
        <v xml:space="preserve">The average of Horizon Bulb is : </v>
      </c>
      <c r="D37" s="243">
        <f>DAVERAGE(A5:H21,E5,D34:E35)</f>
        <v>1.1599999999999999</v>
      </c>
      <c r="E37" s="221" t="s">
        <v>1011</v>
      </c>
    </row>
    <row r="38" spans="1:9" ht="15.75" customHeight="1"/>
    <row r="39" spans="1:9" ht="15.75" customHeight="1">
      <c r="A39" s="5" t="s">
        <v>1012</v>
      </c>
    </row>
    <row r="40" spans="1:9" ht="15.75" customHeight="1"/>
    <row r="41" spans="1:9" ht="15.75" customHeight="1">
      <c r="D41" s="243">
        <f>DAVERAGE(A5:H21,"Unit Cost",D34:E35)</f>
        <v>1.1599999999999999</v>
      </c>
      <c r="E41" s="221" t="s">
        <v>1013</v>
      </c>
    </row>
    <row r="42" spans="1:9" ht="15.75" customHeight="1"/>
    <row r="43" spans="1:9" ht="15.75" customHeight="1">
      <c r="A43" s="249" t="s">
        <v>1014</v>
      </c>
      <c r="B43" s="250"/>
      <c r="C43" s="250"/>
      <c r="D43" s="250"/>
      <c r="E43" s="250"/>
      <c r="F43" s="250"/>
      <c r="G43" s="250"/>
      <c r="H43" s="250"/>
      <c r="I43" s="250"/>
    </row>
    <row r="44" spans="1:9" ht="15.75" customHeight="1"/>
    <row r="45" spans="1:9" ht="15.75" customHeight="1">
      <c r="D45" s="245" t="s">
        <v>63</v>
      </c>
      <c r="E45" s="246" t="s">
        <v>992</v>
      </c>
    </row>
    <row r="46" spans="1:9" ht="15.75" customHeight="1">
      <c r="D46" s="247" t="s">
        <v>829</v>
      </c>
      <c r="E46" s="248">
        <v>100</v>
      </c>
    </row>
    <row r="47" spans="1:9" ht="15.75" customHeight="1"/>
    <row r="48" spans="1:9" ht="15.75" customHeight="1">
      <c r="C48" s="241" t="str">
        <f>"Average of "&amp;D46&amp;" "&amp;E46&amp;" is : "</f>
        <v xml:space="preserve">Average of Bulb 100 is : </v>
      </c>
      <c r="D48" s="243">
        <f>DAVERAGE(A5:H21,"Unit Cost",D45:E46)</f>
        <v>0.52500000000000002</v>
      </c>
      <c r="E48" s="5" t="s">
        <v>1015</v>
      </c>
    </row>
    <row r="49" spans="1:9" ht="15.75" customHeight="1"/>
    <row r="50" spans="1:9" ht="15.75" customHeight="1">
      <c r="A50" s="249" t="s">
        <v>1016</v>
      </c>
      <c r="B50" s="250"/>
      <c r="C50" s="250"/>
      <c r="D50" s="250"/>
      <c r="E50" s="250"/>
      <c r="F50" s="250"/>
      <c r="G50" s="250"/>
      <c r="H50" s="250"/>
      <c r="I50" s="250"/>
    </row>
    <row r="51" spans="1:9" ht="15.75" customHeight="1"/>
    <row r="52" spans="1:9" ht="15.75" customHeight="1">
      <c r="D52" s="245" t="s">
        <v>63</v>
      </c>
      <c r="E52" s="246" t="s">
        <v>992</v>
      </c>
    </row>
    <row r="53" spans="1:9" ht="15.75" customHeight="1">
      <c r="D53" s="251" t="s">
        <v>829</v>
      </c>
      <c r="E53" s="252" t="s">
        <v>1017</v>
      </c>
    </row>
    <row r="54" spans="1:9" ht="15.75" customHeight="1"/>
    <row r="55" spans="1:9" ht="15.75" customHeight="1">
      <c r="C55" s="241" t="str">
        <f>"Average of "&amp;D53&amp;" "&amp;E53&amp;" is : "</f>
        <v xml:space="preserve">Average of Bulb &lt;100 is : </v>
      </c>
      <c r="D55" s="253">
        <f>DAVERAGE(A5:H21,"Unit Cost",D52:E53)</f>
        <v>0.16999999999999998</v>
      </c>
      <c r="E55" s="221" t="s">
        <v>1018</v>
      </c>
    </row>
    <row r="56" spans="1:9" ht="15.75" customHeight="1"/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4CCCC"/>
  </sheetPr>
  <dimension ref="A1:J1000"/>
  <sheetViews>
    <sheetView workbookViewId="0"/>
  </sheetViews>
  <sheetFormatPr defaultColWidth="14.44140625" defaultRowHeight="15" customHeight="1"/>
  <cols>
    <col min="1" max="26" width="8" customWidth="1"/>
  </cols>
  <sheetData>
    <row r="1" spans="1:10" ht="18.75" customHeight="1">
      <c r="A1" s="300" t="s">
        <v>1019</v>
      </c>
      <c r="B1" s="301"/>
      <c r="C1" s="301"/>
      <c r="D1" s="301"/>
      <c r="E1" s="301"/>
      <c r="F1" s="301"/>
      <c r="G1" s="301"/>
      <c r="H1" s="301"/>
      <c r="I1" s="301"/>
      <c r="J1" s="301"/>
    </row>
    <row r="2" spans="1:10" ht="14.4">
      <c r="A2" s="303" t="s">
        <v>1020</v>
      </c>
      <c r="B2" s="301"/>
      <c r="C2" s="301"/>
      <c r="D2" s="301"/>
      <c r="E2" s="301"/>
      <c r="F2" s="301"/>
      <c r="G2" s="301"/>
      <c r="H2" s="301"/>
      <c r="I2" s="301"/>
      <c r="J2" s="301"/>
    </row>
    <row r="3" spans="1:10" ht="15.75" customHeight="1"/>
    <row r="4" spans="1:10" ht="27" customHeight="1">
      <c r="A4" s="230" t="s">
        <v>63</v>
      </c>
      <c r="B4" s="231" t="s">
        <v>992</v>
      </c>
      <c r="C4" s="231" t="s">
        <v>993</v>
      </c>
      <c r="D4" s="231" t="s">
        <v>411</v>
      </c>
      <c r="E4" s="231" t="s">
        <v>994</v>
      </c>
      <c r="F4" s="231" t="s">
        <v>995</v>
      </c>
      <c r="G4" s="231" t="s">
        <v>996</v>
      </c>
      <c r="H4" s="232" t="s">
        <v>997</v>
      </c>
    </row>
    <row r="5" spans="1:10" ht="14.4">
      <c r="A5" s="233" t="s">
        <v>829</v>
      </c>
      <c r="B5" s="105">
        <v>200</v>
      </c>
      <c r="C5" s="105">
        <v>3000</v>
      </c>
      <c r="D5" s="105" t="s">
        <v>998</v>
      </c>
      <c r="E5" s="234">
        <v>4.5</v>
      </c>
      <c r="F5" s="105">
        <v>4</v>
      </c>
      <c r="G5" s="105">
        <v>3</v>
      </c>
      <c r="H5" s="235">
        <f t="shared" ref="H5:H20" si="0">E5*F5*G5</f>
        <v>54</v>
      </c>
    </row>
    <row r="6" spans="1:10" ht="14.4">
      <c r="A6" s="233" t="s">
        <v>999</v>
      </c>
      <c r="B6" s="105">
        <v>100</v>
      </c>
      <c r="C6" s="105">
        <v>2000</v>
      </c>
      <c r="D6" s="105" t="s">
        <v>998</v>
      </c>
      <c r="E6" s="234">
        <v>2</v>
      </c>
      <c r="F6" s="105">
        <v>15</v>
      </c>
      <c r="G6" s="105">
        <v>2</v>
      </c>
      <c r="H6" s="235">
        <f t="shared" si="0"/>
        <v>60</v>
      </c>
    </row>
    <row r="7" spans="1:10" ht="14.4">
      <c r="A7" s="233" t="s">
        <v>1000</v>
      </c>
      <c r="B7" s="105">
        <v>60</v>
      </c>
      <c r="C7" s="105"/>
      <c r="D7" s="105"/>
      <c r="E7" s="234"/>
      <c r="F7" s="105"/>
      <c r="G7" s="105"/>
      <c r="H7" s="235">
        <f t="shared" si="0"/>
        <v>0</v>
      </c>
    </row>
    <row r="8" spans="1:10" ht="14.4">
      <c r="A8" s="233" t="s">
        <v>1001</v>
      </c>
      <c r="B8" s="105">
        <v>10</v>
      </c>
      <c r="C8" s="105">
        <v>8000</v>
      </c>
      <c r="D8" s="105" t="s">
        <v>1002</v>
      </c>
      <c r="E8" s="234">
        <v>0.8</v>
      </c>
      <c r="F8" s="105">
        <v>25</v>
      </c>
      <c r="G8" s="105">
        <v>6</v>
      </c>
      <c r="H8" s="235">
        <f t="shared" si="0"/>
        <v>120</v>
      </c>
    </row>
    <row r="9" spans="1:10" ht="14.4">
      <c r="A9" s="233" t="s">
        <v>829</v>
      </c>
      <c r="B9" s="105">
        <v>80</v>
      </c>
      <c r="C9" s="105">
        <v>1000</v>
      </c>
      <c r="D9" s="105" t="s">
        <v>998</v>
      </c>
      <c r="E9" s="234">
        <v>0.2</v>
      </c>
      <c r="F9" s="105">
        <v>40</v>
      </c>
      <c r="G9" s="105">
        <v>3</v>
      </c>
      <c r="H9" s="235">
        <f t="shared" si="0"/>
        <v>24</v>
      </c>
    </row>
    <row r="10" spans="1:10" ht="14.4">
      <c r="A10" s="233" t="s">
        <v>1000</v>
      </c>
      <c r="B10" s="105">
        <v>100</v>
      </c>
      <c r="C10" s="105" t="s">
        <v>1003</v>
      </c>
      <c r="D10" s="105" t="s">
        <v>998</v>
      </c>
      <c r="E10" s="234">
        <v>1.25</v>
      </c>
      <c r="F10" s="105">
        <v>10</v>
      </c>
      <c r="G10" s="105">
        <v>4</v>
      </c>
      <c r="H10" s="235">
        <f t="shared" si="0"/>
        <v>50</v>
      </c>
    </row>
    <row r="11" spans="1:10" ht="14.4">
      <c r="A11" s="233" t="s">
        <v>1000</v>
      </c>
      <c r="B11" s="105">
        <v>200</v>
      </c>
      <c r="C11" s="105">
        <v>3000</v>
      </c>
      <c r="D11" s="105" t="s">
        <v>998</v>
      </c>
      <c r="E11" s="234">
        <v>2.5</v>
      </c>
      <c r="F11" s="105">
        <v>15</v>
      </c>
      <c r="G11" s="105">
        <v>1</v>
      </c>
      <c r="H11" s="235">
        <f t="shared" si="0"/>
        <v>37.5</v>
      </c>
    </row>
    <row r="12" spans="1:10" ht="14.4">
      <c r="A12" s="233" t="s">
        <v>1001</v>
      </c>
      <c r="B12" s="105">
        <v>25</v>
      </c>
      <c r="C12" s="105" t="s">
        <v>1003</v>
      </c>
      <c r="D12" s="105" t="s">
        <v>1002</v>
      </c>
      <c r="E12" s="234">
        <v>0.5</v>
      </c>
      <c r="F12" s="105">
        <v>10</v>
      </c>
      <c r="G12" s="105">
        <v>3</v>
      </c>
      <c r="H12" s="235">
        <f t="shared" si="0"/>
        <v>15</v>
      </c>
    </row>
    <row r="13" spans="1:10" ht="14.4">
      <c r="A13" s="233" t="s">
        <v>829</v>
      </c>
      <c r="B13" s="105">
        <v>200</v>
      </c>
      <c r="C13" s="105">
        <v>3000</v>
      </c>
      <c r="D13" s="105" t="s">
        <v>1002</v>
      </c>
      <c r="E13" s="234">
        <v>5</v>
      </c>
      <c r="F13" s="105">
        <v>3</v>
      </c>
      <c r="G13" s="105">
        <v>2</v>
      </c>
      <c r="H13" s="235">
        <f t="shared" si="0"/>
        <v>30</v>
      </c>
    </row>
    <row r="14" spans="1:10" ht="14.4">
      <c r="A14" s="233" t="s">
        <v>999</v>
      </c>
      <c r="B14" s="105">
        <v>100</v>
      </c>
      <c r="C14" s="105">
        <v>2000</v>
      </c>
      <c r="D14" s="105" t="s">
        <v>1002</v>
      </c>
      <c r="E14" s="234">
        <v>1.8</v>
      </c>
      <c r="F14" s="105">
        <v>20</v>
      </c>
      <c r="G14" s="105">
        <v>5</v>
      </c>
      <c r="H14" s="235">
        <f t="shared" si="0"/>
        <v>180</v>
      </c>
    </row>
    <row r="15" spans="1:10" ht="14.4">
      <c r="A15" s="233" t="s">
        <v>829</v>
      </c>
      <c r="B15" s="105">
        <v>100</v>
      </c>
      <c r="C15" s="105" t="s">
        <v>1003</v>
      </c>
      <c r="D15" s="105" t="s">
        <v>1002</v>
      </c>
      <c r="E15" s="234">
        <v>0.25</v>
      </c>
      <c r="F15" s="105">
        <v>10</v>
      </c>
      <c r="G15" s="105">
        <v>5</v>
      </c>
      <c r="H15" s="235">
        <f t="shared" si="0"/>
        <v>12.5</v>
      </c>
    </row>
    <row r="16" spans="1:10" ht="14.4">
      <c r="A16" s="233" t="s">
        <v>829</v>
      </c>
      <c r="B16" s="105">
        <v>10</v>
      </c>
      <c r="C16" s="105">
        <v>800</v>
      </c>
      <c r="D16" s="105" t="s">
        <v>998</v>
      </c>
      <c r="E16" s="234">
        <v>0.2</v>
      </c>
      <c r="F16" s="105">
        <v>25</v>
      </c>
      <c r="G16" s="105">
        <v>2</v>
      </c>
      <c r="H16" s="235">
        <f t="shared" si="0"/>
        <v>10</v>
      </c>
    </row>
    <row r="17" spans="1:9" ht="14.4">
      <c r="A17" s="233" t="s">
        <v>829</v>
      </c>
      <c r="B17" s="105">
        <v>60</v>
      </c>
      <c r="C17" s="105">
        <v>1000</v>
      </c>
      <c r="D17" s="105" t="s">
        <v>1002</v>
      </c>
      <c r="E17" s="234">
        <v>0.15</v>
      </c>
      <c r="F17" s="105">
        <v>25</v>
      </c>
      <c r="G17" s="105">
        <v>1</v>
      </c>
      <c r="H17" s="235">
        <f t="shared" si="0"/>
        <v>3.75</v>
      </c>
    </row>
    <row r="18" spans="1:9" ht="14.4">
      <c r="A18" s="233" t="s">
        <v>829</v>
      </c>
      <c r="B18" s="105">
        <v>80</v>
      </c>
      <c r="C18" s="105">
        <v>1000</v>
      </c>
      <c r="D18" s="105" t="s">
        <v>1002</v>
      </c>
      <c r="E18" s="234">
        <v>0.2</v>
      </c>
      <c r="F18" s="105">
        <v>30</v>
      </c>
      <c r="G18" s="105">
        <v>2</v>
      </c>
      <c r="H18" s="235">
        <f t="shared" si="0"/>
        <v>12</v>
      </c>
    </row>
    <row r="19" spans="1:9" ht="14.4">
      <c r="A19" s="233" t="s">
        <v>829</v>
      </c>
      <c r="B19" s="105">
        <v>100</v>
      </c>
      <c r="C19" s="105">
        <v>2000</v>
      </c>
      <c r="D19" s="105" t="s">
        <v>998</v>
      </c>
      <c r="E19" s="234">
        <v>0.8</v>
      </c>
      <c r="F19" s="105">
        <v>10</v>
      </c>
      <c r="G19" s="105">
        <v>5</v>
      </c>
      <c r="H19" s="235">
        <f t="shared" si="0"/>
        <v>40</v>
      </c>
    </row>
    <row r="20" spans="1:9" ht="15.75" customHeight="1">
      <c r="A20" s="236" t="s">
        <v>829</v>
      </c>
      <c r="B20" s="237">
        <v>40</v>
      </c>
      <c r="C20" s="237">
        <v>1000</v>
      </c>
      <c r="D20" s="237" t="s">
        <v>998</v>
      </c>
      <c r="E20" s="238">
        <v>0.1</v>
      </c>
      <c r="F20" s="237">
        <v>20</v>
      </c>
      <c r="G20" s="237">
        <v>5</v>
      </c>
      <c r="H20" s="235">
        <f t="shared" si="0"/>
        <v>10</v>
      </c>
    </row>
    <row r="21" spans="1:9" ht="15.75" customHeight="1"/>
    <row r="22" spans="1:9" ht="15.75" customHeight="1">
      <c r="A22" s="5" t="s">
        <v>1021</v>
      </c>
    </row>
    <row r="23" spans="1:9" ht="15.75" customHeight="1"/>
    <row r="24" spans="1:9" ht="15.75" customHeight="1">
      <c r="D24" s="239" t="s">
        <v>411</v>
      </c>
      <c r="E24" s="240" t="s">
        <v>1022</v>
      </c>
    </row>
    <row r="25" spans="1:9" ht="15.75" customHeight="1">
      <c r="C25" s="241" t="s">
        <v>1006</v>
      </c>
      <c r="D25" s="242" t="s">
        <v>998</v>
      </c>
    </row>
    <row r="26" spans="1:9" ht="15.75" customHeight="1"/>
    <row r="27" spans="1:9" ht="15.75" customHeight="1">
      <c r="A27" s="31"/>
      <c r="B27" s="31"/>
      <c r="C27" s="241" t="str">
        <f>"The COUNT value of "&amp;D25&amp;" is : "</f>
        <v xml:space="preserve">The COUNT value of Horizon is : </v>
      </c>
      <c r="D27" s="63">
        <f>DCOUNT(A4:H20,C4,D24:D25)</f>
        <v>7</v>
      </c>
      <c r="E27" s="221" t="s">
        <v>1023</v>
      </c>
    </row>
    <row r="28" spans="1:9" ht="15.75" customHeight="1"/>
    <row r="29" spans="1:9" ht="15.75" customHeight="1">
      <c r="A29" s="222" t="s">
        <v>1024</v>
      </c>
      <c r="B29" s="222"/>
      <c r="C29" s="222"/>
      <c r="D29" s="222"/>
      <c r="E29" s="222"/>
      <c r="F29" s="222"/>
      <c r="G29" s="222"/>
      <c r="H29" s="222"/>
      <c r="I29" s="222"/>
    </row>
    <row r="30" spans="1:9" ht="15.75" customHeight="1">
      <c r="A30" s="5" t="s">
        <v>1025</v>
      </c>
    </row>
    <row r="31" spans="1:9" ht="15.75" customHeight="1">
      <c r="A31" s="5" t="s">
        <v>1026</v>
      </c>
    </row>
    <row r="32" spans="1:9" ht="15.75" customHeight="1"/>
    <row r="33" spans="1:9" ht="15.75" customHeight="1">
      <c r="A33" s="222" t="s">
        <v>961</v>
      </c>
      <c r="B33" s="222"/>
      <c r="C33" s="222"/>
      <c r="D33" s="222"/>
      <c r="E33" s="222"/>
      <c r="F33" s="222"/>
      <c r="G33" s="222"/>
      <c r="H33" s="222"/>
      <c r="I33" s="222"/>
    </row>
    <row r="34" spans="1:9" ht="15.75" customHeight="1">
      <c r="A34" s="31" t="s">
        <v>1027</v>
      </c>
    </row>
    <row r="35" spans="1:9" ht="15.75" customHeight="1">
      <c r="A35" s="222" t="s">
        <v>1009</v>
      </c>
      <c r="B35" s="222"/>
      <c r="C35" s="222"/>
      <c r="D35" s="222"/>
      <c r="E35" s="222"/>
      <c r="F35" s="222"/>
      <c r="G35" s="222"/>
      <c r="H35" s="222"/>
      <c r="I35" s="222"/>
    </row>
    <row r="36" spans="1:9" ht="15.75" customHeight="1"/>
    <row r="37" spans="1:9" ht="15.75" customHeight="1">
      <c r="A37" s="244" t="s">
        <v>1028</v>
      </c>
    </row>
    <row r="38" spans="1:9" ht="15.75" customHeight="1"/>
    <row r="39" spans="1:9" ht="27" customHeight="1">
      <c r="D39" s="245" t="s">
        <v>63</v>
      </c>
      <c r="E39" s="254" t="s">
        <v>996</v>
      </c>
    </row>
    <row r="40" spans="1:9" ht="15.75" customHeight="1">
      <c r="D40" s="247" t="s">
        <v>829</v>
      </c>
      <c r="E40" s="248">
        <v>5</v>
      </c>
    </row>
    <row r="41" spans="1:9" ht="15.75" customHeight="1"/>
    <row r="42" spans="1:9" ht="15.75" customHeight="1">
      <c r="C42" s="241" t="s">
        <v>1029</v>
      </c>
      <c r="D42" s="63">
        <f>DCOUNT(A4:H20,G4,D39:E40)</f>
        <v>3</v>
      </c>
      <c r="E42" s="221" t="s">
        <v>1030</v>
      </c>
    </row>
    <row r="43" spans="1:9" ht="15.75" customHeight="1"/>
    <row r="44" spans="1:9" ht="15.75" customHeight="1">
      <c r="A44" s="5" t="s">
        <v>1031</v>
      </c>
    </row>
    <row r="45" spans="1:9" ht="15.75" customHeight="1"/>
    <row r="46" spans="1:9" ht="15.75" customHeight="1">
      <c r="D46" s="63">
        <f>DCOUNT(A4:H20,"Boxes In Stock",D39:E40)</f>
        <v>3</v>
      </c>
      <c r="E46" s="221" t="s">
        <v>1032</v>
      </c>
    </row>
    <row r="47" spans="1:9" ht="15.75" customHeight="1"/>
    <row r="48" spans="1:9" ht="15.75" customHeight="1">
      <c r="A48" s="249" t="s">
        <v>1033</v>
      </c>
      <c r="B48" s="250"/>
      <c r="C48" s="250"/>
      <c r="D48" s="250"/>
      <c r="E48" s="250"/>
      <c r="F48" s="250"/>
      <c r="G48" s="250"/>
      <c r="H48" s="250"/>
      <c r="I48" s="250"/>
    </row>
    <row r="49" spans="1:9" ht="15.75" customHeight="1"/>
    <row r="50" spans="1:9" ht="15.75" customHeight="1">
      <c r="D50" s="245" t="s">
        <v>63</v>
      </c>
      <c r="E50" s="246" t="s">
        <v>992</v>
      </c>
    </row>
    <row r="51" spans="1:9" ht="15.75" customHeight="1">
      <c r="D51" s="247" t="s">
        <v>829</v>
      </c>
      <c r="E51" s="248">
        <v>100</v>
      </c>
    </row>
    <row r="52" spans="1:9" ht="15.75" customHeight="1"/>
    <row r="53" spans="1:9" ht="15.75" customHeight="1">
      <c r="C53" s="241" t="s">
        <v>1034</v>
      </c>
      <c r="D53" s="63">
        <f>DCOUNT(A4:H20,"Boxes In Stock",D50:E51)</f>
        <v>2</v>
      </c>
      <c r="E53" s="221" t="s">
        <v>1035</v>
      </c>
    </row>
    <row r="54" spans="1:9" ht="15.75" customHeight="1"/>
    <row r="55" spans="1:9" ht="15.75" customHeight="1">
      <c r="A55" s="249" t="s">
        <v>1036</v>
      </c>
      <c r="B55" s="250"/>
      <c r="C55" s="250"/>
      <c r="D55" s="250"/>
      <c r="E55" s="250"/>
      <c r="F55" s="250"/>
      <c r="G55" s="250"/>
      <c r="H55" s="250"/>
      <c r="I55" s="250"/>
    </row>
    <row r="56" spans="1:9" ht="15.75" customHeight="1"/>
    <row r="57" spans="1:9" ht="15.75" customHeight="1">
      <c r="D57" s="245" t="s">
        <v>63</v>
      </c>
      <c r="E57" s="255" t="s">
        <v>992</v>
      </c>
      <c r="F57" s="246" t="s">
        <v>992</v>
      </c>
    </row>
    <row r="58" spans="1:9" ht="15.75" customHeight="1">
      <c r="D58" s="247" t="s">
        <v>829</v>
      </c>
      <c r="E58" s="256" t="s">
        <v>1037</v>
      </c>
      <c r="F58" s="248" t="s">
        <v>1038</v>
      </c>
    </row>
    <row r="59" spans="1:9" ht="15.75" customHeight="1"/>
    <row r="60" spans="1:9" ht="15.75" customHeight="1">
      <c r="C60" s="241" t="s">
        <v>1034</v>
      </c>
      <c r="D60" s="63">
        <f>DCOUNT(A4:H20,"Boxes In Stock",D57:F58)</f>
        <v>4</v>
      </c>
      <c r="E60" s="221" t="s">
        <v>1039</v>
      </c>
    </row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4CCCC"/>
  </sheetPr>
  <dimension ref="A1:J1000"/>
  <sheetViews>
    <sheetView workbookViewId="0"/>
  </sheetViews>
  <sheetFormatPr defaultColWidth="14.44140625" defaultRowHeight="15" customHeight="1"/>
  <cols>
    <col min="1" max="26" width="8" customWidth="1"/>
  </cols>
  <sheetData>
    <row r="1" spans="1:10" ht="18.75" customHeight="1">
      <c r="A1" s="300" t="s">
        <v>1040</v>
      </c>
      <c r="B1" s="301"/>
      <c r="C1" s="301"/>
      <c r="D1" s="301"/>
      <c r="E1" s="301"/>
      <c r="F1" s="301"/>
      <c r="G1" s="301"/>
      <c r="H1" s="301"/>
      <c r="I1" s="301"/>
      <c r="J1" s="301"/>
    </row>
    <row r="2" spans="1:10" ht="14.4">
      <c r="A2" s="303" t="s">
        <v>1041</v>
      </c>
      <c r="B2" s="301"/>
      <c r="C2" s="301"/>
      <c r="D2" s="301"/>
      <c r="E2" s="301"/>
      <c r="F2" s="301"/>
      <c r="G2" s="301"/>
      <c r="H2" s="301"/>
      <c r="I2" s="301"/>
      <c r="J2" s="301"/>
    </row>
    <row r="3" spans="1:10" ht="15.75" customHeight="1"/>
    <row r="4" spans="1:10" ht="27" customHeight="1">
      <c r="A4" s="257" t="s">
        <v>63</v>
      </c>
      <c r="B4" s="258" t="s">
        <v>992</v>
      </c>
      <c r="C4" s="258" t="s">
        <v>993</v>
      </c>
      <c r="D4" s="258" t="s">
        <v>411</v>
      </c>
      <c r="E4" s="258" t="s">
        <v>994</v>
      </c>
      <c r="F4" s="258" t="s">
        <v>995</v>
      </c>
      <c r="G4" s="258" t="s">
        <v>996</v>
      </c>
      <c r="H4" s="259" t="s">
        <v>997</v>
      </c>
    </row>
    <row r="5" spans="1:10" ht="14.4">
      <c r="A5" s="233" t="s">
        <v>829</v>
      </c>
      <c r="B5" s="105">
        <v>200</v>
      </c>
      <c r="C5" s="105">
        <v>3000</v>
      </c>
      <c r="D5" s="105" t="s">
        <v>998</v>
      </c>
      <c r="E5" s="234">
        <v>4.5</v>
      </c>
      <c r="F5" s="105">
        <v>4</v>
      </c>
      <c r="G5" s="105">
        <v>3</v>
      </c>
      <c r="H5" s="235">
        <f t="shared" ref="H5:H20" si="0">E5*F5*G5</f>
        <v>54</v>
      </c>
    </row>
    <row r="6" spans="1:10" ht="14.4">
      <c r="A6" s="233" t="s">
        <v>999</v>
      </c>
      <c r="B6" s="105">
        <v>100</v>
      </c>
      <c r="C6" s="105">
        <v>2000</v>
      </c>
      <c r="D6" s="105" t="s">
        <v>998</v>
      </c>
      <c r="E6" s="234">
        <v>2</v>
      </c>
      <c r="F6" s="105">
        <v>15</v>
      </c>
      <c r="G6" s="105">
        <v>2</v>
      </c>
      <c r="H6" s="235">
        <f t="shared" si="0"/>
        <v>60</v>
      </c>
    </row>
    <row r="7" spans="1:10" ht="14.4">
      <c r="A7" s="233" t="s">
        <v>1000</v>
      </c>
      <c r="B7" s="105">
        <v>60</v>
      </c>
      <c r="C7" s="105"/>
      <c r="D7" s="105"/>
      <c r="E7" s="234"/>
      <c r="F7" s="105"/>
      <c r="G7" s="105"/>
      <c r="H7" s="235">
        <f t="shared" si="0"/>
        <v>0</v>
      </c>
    </row>
    <row r="8" spans="1:10" ht="14.4">
      <c r="A8" s="233" t="s">
        <v>1001</v>
      </c>
      <c r="B8" s="105">
        <v>10</v>
      </c>
      <c r="C8" s="105">
        <v>8000</v>
      </c>
      <c r="D8" s="105" t="s">
        <v>1002</v>
      </c>
      <c r="E8" s="234">
        <v>0.8</v>
      </c>
      <c r="F8" s="105">
        <v>25</v>
      </c>
      <c r="G8" s="105">
        <v>6</v>
      </c>
      <c r="H8" s="235">
        <f t="shared" si="0"/>
        <v>120</v>
      </c>
    </row>
    <row r="9" spans="1:10" ht="14.4">
      <c r="A9" s="233" t="s">
        <v>829</v>
      </c>
      <c r="B9" s="105">
        <v>80</v>
      </c>
      <c r="C9" s="105">
        <v>1000</v>
      </c>
      <c r="D9" s="105" t="s">
        <v>998</v>
      </c>
      <c r="E9" s="234">
        <v>0.2</v>
      </c>
      <c r="F9" s="105">
        <v>40</v>
      </c>
      <c r="G9" s="105">
        <v>3</v>
      </c>
      <c r="H9" s="235">
        <f t="shared" si="0"/>
        <v>24</v>
      </c>
    </row>
    <row r="10" spans="1:10" ht="14.4">
      <c r="A10" s="233" t="s">
        <v>1000</v>
      </c>
      <c r="B10" s="105">
        <v>100</v>
      </c>
      <c r="C10" s="105" t="s">
        <v>1003</v>
      </c>
      <c r="D10" s="105" t="s">
        <v>998</v>
      </c>
      <c r="E10" s="234">
        <v>1.25</v>
      </c>
      <c r="F10" s="105">
        <v>10</v>
      </c>
      <c r="G10" s="105">
        <v>4</v>
      </c>
      <c r="H10" s="235">
        <f t="shared" si="0"/>
        <v>50</v>
      </c>
    </row>
    <row r="11" spans="1:10" ht="14.4">
      <c r="A11" s="233" t="s">
        <v>1000</v>
      </c>
      <c r="B11" s="105">
        <v>200</v>
      </c>
      <c r="C11" s="105">
        <v>3000</v>
      </c>
      <c r="D11" s="105" t="s">
        <v>998</v>
      </c>
      <c r="E11" s="234">
        <v>2.5</v>
      </c>
      <c r="F11" s="105">
        <v>15</v>
      </c>
      <c r="G11" s="105">
        <v>1</v>
      </c>
      <c r="H11" s="235">
        <f t="shared" si="0"/>
        <v>37.5</v>
      </c>
    </row>
    <row r="12" spans="1:10" ht="14.4">
      <c r="A12" s="233" t="s">
        <v>1001</v>
      </c>
      <c r="B12" s="105">
        <v>25</v>
      </c>
      <c r="C12" s="105" t="s">
        <v>1003</v>
      </c>
      <c r="D12" s="105" t="s">
        <v>1002</v>
      </c>
      <c r="E12" s="234">
        <v>0.5</v>
      </c>
      <c r="F12" s="105">
        <v>10</v>
      </c>
      <c r="G12" s="105">
        <v>3</v>
      </c>
      <c r="H12" s="235">
        <f t="shared" si="0"/>
        <v>15</v>
      </c>
    </row>
    <row r="13" spans="1:10" ht="14.4">
      <c r="A13" s="233" t="s">
        <v>829</v>
      </c>
      <c r="B13" s="105">
        <v>200</v>
      </c>
      <c r="C13" s="105">
        <v>3000</v>
      </c>
      <c r="D13" s="105" t="s">
        <v>1002</v>
      </c>
      <c r="E13" s="234">
        <v>5</v>
      </c>
      <c r="F13" s="105">
        <v>3</v>
      </c>
      <c r="G13" s="105">
        <v>2</v>
      </c>
      <c r="H13" s="235">
        <f t="shared" si="0"/>
        <v>30</v>
      </c>
    </row>
    <row r="14" spans="1:10" ht="14.4">
      <c r="A14" s="233" t="s">
        <v>999</v>
      </c>
      <c r="B14" s="105">
        <v>100</v>
      </c>
      <c r="C14" s="105">
        <v>2000</v>
      </c>
      <c r="D14" s="105" t="s">
        <v>1002</v>
      </c>
      <c r="E14" s="234">
        <v>1.8</v>
      </c>
      <c r="F14" s="105">
        <v>20</v>
      </c>
      <c r="G14" s="105">
        <v>5</v>
      </c>
      <c r="H14" s="235">
        <f t="shared" si="0"/>
        <v>180</v>
      </c>
    </row>
    <row r="15" spans="1:10" ht="14.4">
      <c r="A15" s="233" t="s">
        <v>829</v>
      </c>
      <c r="B15" s="105">
        <v>100</v>
      </c>
      <c r="C15" s="105" t="s">
        <v>1003</v>
      </c>
      <c r="D15" s="105" t="s">
        <v>1002</v>
      </c>
      <c r="E15" s="234">
        <v>0.25</v>
      </c>
      <c r="F15" s="105">
        <v>10</v>
      </c>
      <c r="G15" s="105">
        <v>5</v>
      </c>
      <c r="H15" s="235">
        <f t="shared" si="0"/>
        <v>12.5</v>
      </c>
    </row>
    <row r="16" spans="1:10" ht="14.4">
      <c r="A16" s="233" t="s">
        <v>829</v>
      </c>
      <c r="B16" s="105">
        <v>10</v>
      </c>
      <c r="C16" s="105">
        <v>800</v>
      </c>
      <c r="D16" s="105" t="s">
        <v>998</v>
      </c>
      <c r="E16" s="234">
        <v>0.2</v>
      </c>
      <c r="F16" s="105">
        <v>25</v>
      </c>
      <c r="G16" s="105">
        <v>2</v>
      </c>
      <c r="H16" s="235">
        <f t="shared" si="0"/>
        <v>10</v>
      </c>
    </row>
    <row r="17" spans="1:9" ht="14.4">
      <c r="A17" s="233" t="s">
        <v>829</v>
      </c>
      <c r="B17" s="105">
        <v>60</v>
      </c>
      <c r="C17" s="105">
        <v>1000</v>
      </c>
      <c r="D17" s="105" t="s">
        <v>1002</v>
      </c>
      <c r="E17" s="234">
        <v>0.15</v>
      </c>
      <c r="F17" s="105">
        <v>25</v>
      </c>
      <c r="G17" s="105">
        <v>1</v>
      </c>
      <c r="H17" s="235">
        <f t="shared" si="0"/>
        <v>3.75</v>
      </c>
    </row>
    <row r="18" spans="1:9" ht="14.4">
      <c r="A18" s="233" t="s">
        <v>829</v>
      </c>
      <c r="B18" s="105">
        <v>80</v>
      </c>
      <c r="C18" s="105">
        <v>1000</v>
      </c>
      <c r="D18" s="105" t="s">
        <v>1002</v>
      </c>
      <c r="E18" s="234">
        <v>0.2</v>
      </c>
      <c r="F18" s="105">
        <v>30</v>
      </c>
      <c r="G18" s="105">
        <v>2</v>
      </c>
      <c r="H18" s="235">
        <f t="shared" si="0"/>
        <v>12</v>
      </c>
    </row>
    <row r="19" spans="1:9" ht="14.4">
      <c r="A19" s="233" t="s">
        <v>829</v>
      </c>
      <c r="B19" s="105">
        <v>100</v>
      </c>
      <c r="C19" s="105">
        <v>2000</v>
      </c>
      <c r="D19" s="105" t="s">
        <v>998</v>
      </c>
      <c r="E19" s="234">
        <v>0.8</v>
      </c>
      <c r="F19" s="105">
        <v>10</v>
      </c>
      <c r="G19" s="105">
        <v>5</v>
      </c>
      <c r="H19" s="235">
        <f t="shared" si="0"/>
        <v>40</v>
      </c>
    </row>
    <row r="20" spans="1:9" ht="15.75" customHeight="1">
      <c r="A20" s="236" t="s">
        <v>829</v>
      </c>
      <c r="B20" s="237">
        <v>40</v>
      </c>
      <c r="C20" s="237">
        <v>1000</v>
      </c>
      <c r="D20" s="237" t="s">
        <v>998</v>
      </c>
      <c r="E20" s="238">
        <v>0.1</v>
      </c>
      <c r="F20" s="237">
        <v>20</v>
      </c>
      <c r="G20" s="237">
        <v>5</v>
      </c>
      <c r="H20" s="235">
        <f t="shared" si="0"/>
        <v>10</v>
      </c>
    </row>
    <row r="21" spans="1:9" ht="15.75" customHeight="1"/>
    <row r="22" spans="1:9" ht="15.75" customHeight="1">
      <c r="A22" s="5" t="s">
        <v>1042</v>
      </c>
    </row>
    <row r="23" spans="1:9" ht="15.75" customHeight="1"/>
    <row r="24" spans="1:9" ht="15.75" customHeight="1">
      <c r="D24" s="239" t="s">
        <v>411</v>
      </c>
      <c r="E24" s="240" t="s">
        <v>1043</v>
      </c>
    </row>
    <row r="25" spans="1:9" ht="15.75" customHeight="1">
      <c r="C25" s="241" t="s">
        <v>1006</v>
      </c>
      <c r="D25" s="242" t="s">
        <v>998</v>
      </c>
    </row>
    <row r="26" spans="1:9" ht="15.75" customHeight="1"/>
    <row r="27" spans="1:9" ht="15.75" customHeight="1">
      <c r="A27" s="31"/>
      <c r="B27" s="31"/>
      <c r="C27" s="241" t="str">
        <f>"The COUNT value of "&amp;D25&amp;" is : "</f>
        <v xml:space="preserve">The COUNT value of Horizon is : </v>
      </c>
      <c r="D27" s="63">
        <f>DCOUNTA(A4:H20,D4,D24:D25)</f>
        <v>8</v>
      </c>
      <c r="E27" s="221" t="s">
        <v>1044</v>
      </c>
    </row>
    <row r="28" spans="1:9" ht="15.75" customHeight="1"/>
    <row r="29" spans="1:9" ht="15.75" customHeight="1">
      <c r="A29" s="222" t="s">
        <v>1024</v>
      </c>
      <c r="B29" s="222"/>
      <c r="C29" s="222"/>
      <c r="D29" s="222"/>
      <c r="E29" s="222"/>
      <c r="F29" s="222"/>
      <c r="G29" s="222"/>
      <c r="H29" s="222"/>
      <c r="I29" s="222"/>
    </row>
    <row r="30" spans="1:9" ht="15.75" customHeight="1">
      <c r="A30" s="5" t="s">
        <v>1045</v>
      </c>
    </row>
    <row r="31" spans="1:9" ht="15.75" customHeight="1">
      <c r="A31" s="5" t="s">
        <v>1046</v>
      </c>
    </row>
    <row r="32" spans="1:9" ht="15.75" customHeight="1"/>
    <row r="33" spans="1:9" ht="15.75" customHeight="1">
      <c r="A33" s="222" t="s">
        <v>961</v>
      </c>
      <c r="B33" s="222"/>
      <c r="C33" s="222"/>
      <c r="D33" s="222"/>
      <c r="E33" s="222"/>
      <c r="F33" s="222"/>
      <c r="G33" s="222"/>
      <c r="H33" s="222"/>
      <c r="I33" s="222"/>
    </row>
    <row r="34" spans="1:9" ht="15.75" customHeight="1">
      <c r="A34" s="31" t="s">
        <v>1047</v>
      </c>
    </row>
    <row r="35" spans="1:9" ht="15.75" customHeight="1">
      <c r="A35" s="222" t="s">
        <v>1009</v>
      </c>
      <c r="B35" s="222"/>
      <c r="C35" s="222"/>
      <c r="D35" s="222"/>
      <c r="E35" s="222"/>
      <c r="F35" s="222"/>
      <c r="G35" s="222"/>
      <c r="H35" s="222"/>
      <c r="I35" s="222"/>
    </row>
    <row r="36" spans="1:9" ht="15.75" customHeight="1"/>
    <row r="37" spans="1:9" ht="15.75" customHeight="1">
      <c r="A37" s="244" t="s">
        <v>1048</v>
      </c>
    </row>
    <row r="38" spans="1:9" ht="15.75" customHeight="1"/>
    <row r="39" spans="1:9" ht="27" customHeight="1">
      <c r="D39" s="245" t="s">
        <v>63</v>
      </c>
      <c r="E39" s="254" t="s">
        <v>993</v>
      </c>
    </row>
    <row r="40" spans="1:9" ht="15.75" customHeight="1">
      <c r="D40" s="247" t="s">
        <v>829</v>
      </c>
      <c r="E40" s="248" t="s">
        <v>1003</v>
      </c>
    </row>
    <row r="41" spans="1:9" ht="15.75" customHeight="1"/>
    <row r="42" spans="1:9" ht="15.75" customHeight="1">
      <c r="C42" s="241" t="s">
        <v>1029</v>
      </c>
      <c r="D42" s="63">
        <f>DCOUNTA(A4:H20,C4,D39:E40)</f>
        <v>1</v>
      </c>
      <c r="E42" s="221" t="s">
        <v>1049</v>
      </c>
    </row>
    <row r="43" spans="1:9" ht="15.75" customHeight="1"/>
    <row r="44" spans="1:9" ht="15.75" customHeight="1">
      <c r="A44" s="5" t="s">
        <v>1050</v>
      </c>
    </row>
    <row r="45" spans="1:9" ht="15.75" customHeight="1"/>
    <row r="46" spans="1:9" ht="15.75" customHeight="1">
      <c r="D46" s="63">
        <f>DCOUNTA(A4:H20,"Life Hours",D39:E40)</f>
        <v>1</v>
      </c>
      <c r="E46" s="221" t="s">
        <v>1051</v>
      </c>
    </row>
    <row r="47" spans="1:9" ht="15.75" customHeight="1"/>
    <row r="48" spans="1:9" ht="15.75" customHeight="1">
      <c r="A48" s="249" t="s">
        <v>1052</v>
      </c>
      <c r="B48" s="250"/>
      <c r="C48" s="250"/>
      <c r="D48" s="250"/>
      <c r="E48" s="250"/>
      <c r="F48" s="250"/>
      <c r="G48" s="250"/>
      <c r="H48" s="250"/>
      <c r="I48" s="250"/>
    </row>
    <row r="49" spans="1:9" ht="15.75" customHeight="1"/>
    <row r="50" spans="1:9" ht="15.75" customHeight="1">
      <c r="D50" s="245" t="s">
        <v>63</v>
      </c>
      <c r="E50" s="246" t="s">
        <v>411</v>
      </c>
    </row>
    <row r="51" spans="1:9" ht="15.75" customHeight="1">
      <c r="D51" s="247" t="s">
        <v>829</v>
      </c>
      <c r="E51" s="248" t="s">
        <v>998</v>
      </c>
    </row>
    <row r="52" spans="1:9" ht="15.75" customHeight="1"/>
    <row r="53" spans="1:9" ht="15.75" customHeight="1">
      <c r="C53" s="241" t="s">
        <v>1034</v>
      </c>
      <c r="D53" s="63">
        <f>DCOUNTA(A4:H20,"Product",D50:E51)</f>
        <v>5</v>
      </c>
      <c r="E53" s="221" t="s">
        <v>1053</v>
      </c>
    </row>
    <row r="54" spans="1:9" ht="15.75" customHeight="1"/>
    <row r="55" spans="1:9" ht="15.75" customHeight="1">
      <c r="A55" s="249" t="s">
        <v>1054</v>
      </c>
      <c r="B55" s="250"/>
      <c r="C55" s="250"/>
      <c r="D55" s="250"/>
      <c r="E55" s="250"/>
      <c r="F55" s="250"/>
      <c r="G55" s="250"/>
      <c r="H55" s="250"/>
      <c r="I55" s="250"/>
    </row>
    <row r="56" spans="1:9" ht="15.75" customHeight="1"/>
    <row r="57" spans="1:9" ht="15.75" customHeight="1">
      <c r="D57" s="245" t="s">
        <v>63</v>
      </c>
      <c r="E57" s="246" t="s">
        <v>411</v>
      </c>
    </row>
    <row r="58" spans="1:9" ht="15.75" customHeight="1">
      <c r="D58" s="260" t="s">
        <v>1000</v>
      </c>
      <c r="E58" s="261" t="s">
        <v>998</v>
      </c>
    </row>
    <row r="59" spans="1:9" ht="15.75" customHeight="1">
      <c r="D59" s="247" t="s">
        <v>999</v>
      </c>
      <c r="E59" s="248" t="s">
        <v>1002</v>
      </c>
    </row>
    <row r="60" spans="1:9" ht="15.75" customHeight="1"/>
    <row r="61" spans="1:9" ht="15.75" customHeight="1">
      <c r="C61" s="241" t="s">
        <v>1034</v>
      </c>
      <c r="D61" s="63">
        <f>DCOUNTA(A4:H20,"Product",D57:E59)</f>
        <v>3</v>
      </c>
      <c r="E61" s="221" t="s">
        <v>1055</v>
      </c>
    </row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4CCCC"/>
  </sheetPr>
  <dimension ref="A1:J1000"/>
  <sheetViews>
    <sheetView workbookViewId="0"/>
  </sheetViews>
  <sheetFormatPr defaultColWidth="14.44140625" defaultRowHeight="15" customHeight="1"/>
  <cols>
    <col min="1" max="7" width="8" customWidth="1"/>
    <col min="8" max="8" width="8.88671875" customWidth="1"/>
    <col min="9" max="26" width="8" customWidth="1"/>
  </cols>
  <sheetData>
    <row r="1" spans="1:10" ht="18.75" customHeight="1">
      <c r="A1" s="300" t="s">
        <v>1056</v>
      </c>
      <c r="B1" s="301"/>
      <c r="C1" s="301"/>
      <c r="D1" s="301"/>
      <c r="E1" s="301"/>
      <c r="F1" s="301"/>
      <c r="G1" s="301"/>
      <c r="H1" s="301"/>
      <c r="I1" s="301"/>
      <c r="J1" s="301"/>
    </row>
    <row r="2" spans="1:10" ht="15.75" customHeight="1">
      <c r="A2" s="303" t="s">
        <v>1057</v>
      </c>
      <c r="B2" s="301"/>
      <c r="C2" s="301"/>
      <c r="D2" s="301"/>
      <c r="E2" s="301"/>
      <c r="F2" s="301"/>
      <c r="G2" s="301"/>
      <c r="H2" s="301"/>
      <c r="I2" s="301"/>
      <c r="J2" s="301"/>
    </row>
    <row r="3" spans="1:10" ht="27" customHeight="1">
      <c r="A3" s="257" t="s">
        <v>63</v>
      </c>
      <c r="B3" s="258" t="s">
        <v>992</v>
      </c>
      <c r="C3" s="258" t="s">
        <v>993</v>
      </c>
      <c r="D3" s="258" t="s">
        <v>411</v>
      </c>
      <c r="E3" s="258" t="s">
        <v>994</v>
      </c>
      <c r="F3" s="258" t="s">
        <v>995</v>
      </c>
      <c r="G3" s="258" t="s">
        <v>996</v>
      </c>
      <c r="H3" s="259" t="s">
        <v>997</v>
      </c>
    </row>
    <row r="4" spans="1:10" ht="14.4">
      <c r="A4" s="233" t="s">
        <v>829</v>
      </c>
      <c r="B4" s="105">
        <v>200</v>
      </c>
      <c r="C4" s="105">
        <v>3000</v>
      </c>
      <c r="D4" s="105" t="s">
        <v>998</v>
      </c>
      <c r="E4" s="234">
        <v>4.5</v>
      </c>
      <c r="F4" s="105">
        <v>4</v>
      </c>
      <c r="G4" s="105">
        <v>3</v>
      </c>
      <c r="H4" s="235">
        <f t="shared" ref="H4:H19" si="0">E4*F4*G4</f>
        <v>54</v>
      </c>
      <c r="I4" s="5">
        <f>E4*F4*G4</f>
        <v>54</v>
      </c>
    </row>
    <row r="5" spans="1:10" ht="14.4">
      <c r="A5" s="233" t="s">
        <v>999</v>
      </c>
      <c r="B5" s="105">
        <v>100</v>
      </c>
      <c r="C5" s="105">
        <v>2000</v>
      </c>
      <c r="D5" s="105" t="s">
        <v>998</v>
      </c>
      <c r="E5" s="234">
        <v>2</v>
      </c>
      <c r="F5" s="105">
        <v>15</v>
      </c>
      <c r="G5" s="105">
        <v>2</v>
      </c>
      <c r="H5" s="235">
        <f t="shared" si="0"/>
        <v>60</v>
      </c>
    </row>
    <row r="6" spans="1:10" ht="14.4">
      <c r="A6" s="233" t="s">
        <v>1000</v>
      </c>
      <c r="B6" s="105">
        <v>60</v>
      </c>
      <c r="C6" s="105"/>
      <c r="D6" s="105"/>
      <c r="E6" s="234"/>
      <c r="F6" s="105"/>
      <c r="G6" s="105"/>
      <c r="H6" s="235">
        <f t="shared" si="0"/>
        <v>0</v>
      </c>
    </row>
    <row r="7" spans="1:10" ht="14.4">
      <c r="A7" s="233" t="s">
        <v>1001</v>
      </c>
      <c r="B7" s="105">
        <v>10</v>
      </c>
      <c r="C7" s="105">
        <v>8000</v>
      </c>
      <c r="D7" s="105" t="s">
        <v>1002</v>
      </c>
      <c r="E7" s="234">
        <v>0.8</v>
      </c>
      <c r="F7" s="105">
        <v>25</v>
      </c>
      <c r="G7" s="105">
        <v>6</v>
      </c>
      <c r="H7" s="235">
        <f t="shared" si="0"/>
        <v>120</v>
      </c>
    </row>
    <row r="8" spans="1:10" ht="14.4">
      <c r="A8" s="233" t="s">
        <v>829</v>
      </c>
      <c r="B8" s="105">
        <v>80</v>
      </c>
      <c r="C8" s="105">
        <v>1000</v>
      </c>
      <c r="D8" s="105" t="s">
        <v>998</v>
      </c>
      <c r="E8" s="234">
        <v>0.2</v>
      </c>
      <c r="F8" s="105">
        <v>40</v>
      </c>
      <c r="G8" s="105">
        <v>3</v>
      </c>
      <c r="H8" s="235">
        <f t="shared" si="0"/>
        <v>24</v>
      </c>
    </row>
    <row r="9" spans="1:10" ht="14.4">
      <c r="A9" s="233" t="s">
        <v>1000</v>
      </c>
      <c r="B9" s="105">
        <v>100</v>
      </c>
      <c r="C9" s="105" t="s">
        <v>1003</v>
      </c>
      <c r="D9" s="105" t="s">
        <v>998</v>
      </c>
      <c r="E9" s="234">
        <v>1.25</v>
      </c>
      <c r="F9" s="105">
        <v>10</v>
      </c>
      <c r="G9" s="105">
        <v>4</v>
      </c>
      <c r="H9" s="235">
        <f t="shared" si="0"/>
        <v>50</v>
      </c>
    </row>
    <row r="10" spans="1:10" ht="14.4">
      <c r="A10" s="233" t="s">
        <v>1000</v>
      </c>
      <c r="B10" s="105">
        <v>200</v>
      </c>
      <c r="C10" s="105">
        <v>3000</v>
      </c>
      <c r="D10" s="105" t="s">
        <v>998</v>
      </c>
      <c r="E10" s="234">
        <v>2.5</v>
      </c>
      <c r="F10" s="105">
        <v>15</v>
      </c>
      <c r="G10" s="105">
        <v>0</v>
      </c>
      <c r="H10" s="235">
        <f t="shared" si="0"/>
        <v>0</v>
      </c>
    </row>
    <row r="11" spans="1:10" ht="14.4">
      <c r="A11" s="233" t="s">
        <v>1001</v>
      </c>
      <c r="B11" s="105">
        <v>25</v>
      </c>
      <c r="C11" s="105" t="s">
        <v>1003</v>
      </c>
      <c r="D11" s="105" t="s">
        <v>1002</v>
      </c>
      <c r="E11" s="234">
        <v>0.5</v>
      </c>
      <c r="F11" s="105">
        <v>10</v>
      </c>
      <c r="G11" s="105">
        <v>3</v>
      </c>
      <c r="H11" s="235">
        <f t="shared" si="0"/>
        <v>15</v>
      </c>
    </row>
    <row r="12" spans="1:10" ht="14.4">
      <c r="A12" s="233" t="s">
        <v>829</v>
      </c>
      <c r="B12" s="105">
        <v>200</v>
      </c>
      <c r="C12" s="105">
        <v>3000</v>
      </c>
      <c r="D12" s="105" t="s">
        <v>1002</v>
      </c>
      <c r="E12" s="234">
        <v>5</v>
      </c>
      <c r="F12" s="105">
        <v>3</v>
      </c>
      <c r="G12" s="105">
        <v>2</v>
      </c>
      <c r="H12" s="235">
        <f t="shared" si="0"/>
        <v>30</v>
      </c>
    </row>
    <row r="13" spans="1:10" ht="14.4">
      <c r="A13" s="233" t="s">
        <v>999</v>
      </c>
      <c r="B13" s="105">
        <v>100</v>
      </c>
      <c r="C13" s="105">
        <v>2000</v>
      </c>
      <c r="D13" s="105" t="s">
        <v>1002</v>
      </c>
      <c r="E13" s="234">
        <v>1.8</v>
      </c>
      <c r="F13" s="105">
        <v>20</v>
      </c>
      <c r="G13" s="105">
        <v>5</v>
      </c>
      <c r="H13" s="235">
        <f t="shared" si="0"/>
        <v>180</v>
      </c>
    </row>
    <row r="14" spans="1:10" ht="14.4">
      <c r="A14" s="233" t="s">
        <v>829</v>
      </c>
      <c r="B14" s="105">
        <v>100</v>
      </c>
      <c r="C14" s="105" t="s">
        <v>1003</v>
      </c>
      <c r="D14" s="105" t="s">
        <v>1002</v>
      </c>
      <c r="E14" s="234">
        <v>0.25</v>
      </c>
      <c r="F14" s="105">
        <v>10</v>
      </c>
      <c r="G14" s="105">
        <v>5</v>
      </c>
      <c r="H14" s="235">
        <f t="shared" si="0"/>
        <v>12.5</v>
      </c>
    </row>
    <row r="15" spans="1:10" ht="14.4">
      <c r="A15" s="233" t="s">
        <v>829</v>
      </c>
      <c r="B15" s="105">
        <v>10</v>
      </c>
      <c r="C15" s="105">
        <v>800</v>
      </c>
      <c r="D15" s="105" t="s">
        <v>998</v>
      </c>
      <c r="E15" s="234">
        <v>0.2</v>
      </c>
      <c r="F15" s="105">
        <v>25</v>
      </c>
      <c r="G15" s="105">
        <v>2</v>
      </c>
      <c r="H15" s="235">
        <f t="shared" si="0"/>
        <v>10</v>
      </c>
    </row>
    <row r="16" spans="1:10" ht="14.4">
      <c r="A16" s="233" t="s">
        <v>829</v>
      </c>
      <c r="B16" s="105">
        <v>60</v>
      </c>
      <c r="C16" s="105">
        <v>1000</v>
      </c>
      <c r="D16" s="105" t="s">
        <v>1002</v>
      </c>
      <c r="E16" s="234">
        <v>0.15</v>
      </c>
      <c r="F16" s="105">
        <v>25</v>
      </c>
      <c r="G16" s="105">
        <v>0</v>
      </c>
      <c r="H16" s="235">
        <f t="shared" si="0"/>
        <v>0</v>
      </c>
    </row>
    <row r="17" spans="1:9" ht="14.4">
      <c r="A17" s="233" t="s">
        <v>829</v>
      </c>
      <c r="B17" s="105">
        <v>80</v>
      </c>
      <c r="C17" s="105">
        <v>1000</v>
      </c>
      <c r="D17" s="105" t="s">
        <v>1002</v>
      </c>
      <c r="E17" s="234">
        <v>0.2</v>
      </c>
      <c r="F17" s="105">
        <v>30</v>
      </c>
      <c r="G17" s="105">
        <v>2</v>
      </c>
      <c r="H17" s="235">
        <f t="shared" si="0"/>
        <v>12</v>
      </c>
    </row>
    <row r="18" spans="1:9" ht="14.4">
      <c r="A18" s="233" t="s">
        <v>829</v>
      </c>
      <c r="B18" s="105">
        <v>100</v>
      </c>
      <c r="C18" s="105">
        <v>2000</v>
      </c>
      <c r="D18" s="105" t="s">
        <v>998</v>
      </c>
      <c r="E18" s="234">
        <v>0.8</v>
      </c>
      <c r="F18" s="105">
        <v>10</v>
      </c>
      <c r="G18" s="105">
        <v>5</v>
      </c>
      <c r="H18" s="235">
        <f t="shared" si="0"/>
        <v>40</v>
      </c>
    </row>
    <row r="19" spans="1:9" ht="15.75" customHeight="1">
      <c r="A19" s="236" t="s">
        <v>829</v>
      </c>
      <c r="B19" s="237">
        <v>40</v>
      </c>
      <c r="C19" s="237">
        <v>1000</v>
      </c>
      <c r="D19" s="237" t="s">
        <v>998</v>
      </c>
      <c r="E19" s="238">
        <v>0.1</v>
      </c>
      <c r="F19" s="237">
        <v>20</v>
      </c>
      <c r="G19" s="237">
        <v>5</v>
      </c>
      <c r="H19" s="235">
        <f t="shared" si="0"/>
        <v>10</v>
      </c>
    </row>
    <row r="20" spans="1:9" ht="15.75" customHeight="1"/>
    <row r="21" spans="1:9" ht="15.75" customHeight="1">
      <c r="A21" s="5" t="s">
        <v>1058</v>
      </c>
    </row>
    <row r="22" spans="1:9" ht="15.75" customHeight="1"/>
    <row r="23" spans="1:9" ht="15.75" customHeight="1">
      <c r="D23" s="239" t="s">
        <v>411</v>
      </c>
      <c r="E23" s="240" t="s">
        <v>1059</v>
      </c>
    </row>
    <row r="24" spans="1:9" ht="15.75" customHeight="1">
      <c r="C24" s="241" t="s">
        <v>1006</v>
      </c>
      <c r="D24" s="242" t="s">
        <v>998</v>
      </c>
    </row>
    <row r="25" spans="1:9" ht="15.75" customHeight="1"/>
    <row r="26" spans="1:9" ht="15.75" customHeight="1">
      <c r="A26" s="31"/>
      <c r="B26" s="31"/>
      <c r="C26" s="241" t="str">
        <f>"The MAX value of "&amp;D24&amp;" is : "</f>
        <v xml:space="preserve">The MAX value of Horizon is : </v>
      </c>
      <c r="D26" s="243">
        <f>DMAX(A3:H19,H3,D23:D24)</f>
        <v>60</v>
      </c>
      <c r="E26" s="221" t="s">
        <v>1060</v>
      </c>
    </row>
    <row r="27" spans="1:9" ht="15.75" customHeight="1"/>
    <row r="28" spans="1:9" ht="15.75" customHeight="1">
      <c r="A28" s="222" t="s">
        <v>1024</v>
      </c>
      <c r="B28" s="222"/>
      <c r="C28" s="222"/>
      <c r="D28" s="222"/>
      <c r="E28" s="222"/>
      <c r="F28" s="222"/>
      <c r="G28" s="222"/>
      <c r="H28" s="222"/>
      <c r="I28" s="222"/>
    </row>
    <row r="29" spans="1:9" ht="15.75" customHeight="1">
      <c r="A29" s="5" t="s">
        <v>1061</v>
      </c>
    </row>
    <row r="30" spans="1:9" ht="15.75" customHeight="1"/>
    <row r="31" spans="1:9" ht="15.75" customHeight="1">
      <c r="A31" s="222" t="s">
        <v>961</v>
      </c>
      <c r="B31" s="222"/>
      <c r="C31" s="222"/>
      <c r="D31" s="222"/>
      <c r="E31" s="222"/>
      <c r="F31" s="222"/>
      <c r="G31" s="222"/>
      <c r="H31" s="222"/>
      <c r="I31" s="222"/>
    </row>
    <row r="32" spans="1:9" ht="15.75" customHeight="1">
      <c r="A32" s="31" t="s">
        <v>1062</v>
      </c>
    </row>
    <row r="33" spans="1:9" ht="15.75" customHeight="1"/>
    <row r="34" spans="1:9" ht="15.75" customHeight="1">
      <c r="A34" s="222" t="s">
        <v>1009</v>
      </c>
      <c r="B34" s="222"/>
      <c r="C34" s="222"/>
      <c r="D34" s="222"/>
      <c r="E34" s="222"/>
      <c r="F34" s="222"/>
      <c r="G34" s="222"/>
      <c r="H34" s="222"/>
      <c r="I34" s="222"/>
    </row>
    <row r="35" spans="1:9" ht="15.75" customHeight="1"/>
    <row r="36" spans="1:9" ht="15.75" customHeight="1">
      <c r="A36" s="244" t="s">
        <v>1063</v>
      </c>
    </row>
    <row r="37" spans="1:9" ht="15.75" customHeight="1"/>
    <row r="38" spans="1:9" ht="15.75" customHeight="1">
      <c r="D38" s="245" t="s">
        <v>63</v>
      </c>
      <c r="E38" s="246" t="s">
        <v>411</v>
      </c>
    </row>
    <row r="39" spans="1:9" ht="15.75" customHeight="1">
      <c r="D39" s="247" t="s">
        <v>829</v>
      </c>
      <c r="E39" s="248" t="s">
        <v>1007</v>
      </c>
    </row>
    <row r="40" spans="1:9" ht="15.75" customHeight="1"/>
    <row r="41" spans="1:9" ht="15.75" customHeight="1">
      <c r="C41" s="241" t="s">
        <v>1064</v>
      </c>
      <c r="D41" s="243">
        <f>DMAX(A3:H19,H3,D38:E39)</f>
        <v>30</v>
      </c>
      <c r="E41" s="221" t="s">
        <v>1065</v>
      </c>
    </row>
    <row r="42" spans="1:9" ht="15.75" customHeight="1">
      <c r="D42" s="5">
        <f>917417511352</f>
        <v>917417511352</v>
      </c>
    </row>
    <row r="43" spans="1:9" ht="15.75" customHeight="1">
      <c r="A43" s="5" t="s">
        <v>1066</v>
      </c>
    </row>
    <row r="44" spans="1:9" ht="15.75" customHeight="1"/>
    <row r="45" spans="1:9" ht="15.75" customHeight="1">
      <c r="D45" s="243">
        <f>DMAX(A3:H19,"Value Of Stock",D38:E39)</f>
        <v>30</v>
      </c>
      <c r="E45" s="221" t="s">
        <v>1067</v>
      </c>
    </row>
    <row r="46" spans="1:9" ht="15.75" customHeight="1"/>
    <row r="47" spans="1:9" ht="15.75" customHeight="1">
      <c r="A47" s="249" t="s">
        <v>1068</v>
      </c>
      <c r="B47" s="250"/>
      <c r="C47" s="250"/>
      <c r="D47" s="250"/>
      <c r="E47" s="250"/>
      <c r="F47" s="250"/>
      <c r="G47" s="250"/>
      <c r="H47" s="250"/>
      <c r="I47" s="250"/>
    </row>
    <row r="48" spans="1:9" ht="15.75" customHeight="1"/>
    <row r="49" spans="1:9" ht="15.75" customHeight="1">
      <c r="D49" s="245" t="s">
        <v>63</v>
      </c>
      <c r="E49" s="246" t="s">
        <v>992</v>
      </c>
    </row>
    <row r="50" spans="1:9" ht="15.75" customHeight="1">
      <c r="D50" s="247" t="s">
        <v>829</v>
      </c>
      <c r="E50" s="248">
        <v>100</v>
      </c>
    </row>
    <row r="51" spans="1:9" ht="15.75" customHeight="1"/>
    <row r="52" spans="1:9" ht="15.75" customHeight="1">
      <c r="C52" s="241" t="s">
        <v>1069</v>
      </c>
      <c r="D52" s="243">
        <f>DMAX(A3:H19,"Value Of Stock",D49:E50)</f>
        <v>40</v>
      </c>
      <c r="E52" s="221" t="s">
        <v>1070</v>
      </c>
    </row>
    <row r="53" spans="1:9" ht="15.75" customHeight="1"/>
    <row r="54" spans="1:9" ht="15.75" customHeight="1">
      <c r="A54" s="249" t="s">
        <v>1071</v>
      </c>
      <c r="B54" s="250"/>
      <c r="C54" s="250"/>
      <c r="D54" s="250"/>
      <c r="E54" s="250"/>
      <c r="F54" s="250"/>
      <c r="G54" s="250"/>
      <c r="H54" s="250"/>
      <c r="I54" s="250"/>
    </row>
    <row r="55" spans="1:9" ht="15.75" customHeight="1"/>
    <row r="56" spans="1:9" ht="15.75" customHeight="1">
      <c r="D56" s="245" t="s">
        <v>63</v>
      </c>
      <c r="E56" s="246" t="s">
        <v>992</v>
      </c>
    </row>
    <row r="57" spans="1:9" ht="15.75" customHeight="1">
      <c r="D57" s="247" t="s">
        <v>829</v>
      </c>
      <c r="E57" s="248" t="s">
        <v>1017</v>
      </c>
    </row>
    <row r="58" spans="1:9" ht="15.75" customHeight="1"/>
    <row r="59" spans="1:9" ht="15.75" customHeight="1">
      <c r="C59" s="241" t="s">
        <v>1069</v>
      </c>
      <c r="D59" s="243">
        <f>DMAX(A3:H19,"Value Of Stock",D56:E57)</f>
        <v>24</v>
      </c>
      <c r="E59" s="221" t="s">
        <v>1072</v>
      </c>
    </row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4CCCC"/>
  </sheetPr>
  <dimension ref="A1:J1000"/>
  <sheetViews>
    <sheetView workbookViewId="0"/>
  </sheetViews>
  <sheetFormatPr defaultColWidth="14.44140625" defaultRowHeight="15" customHeight="1"/>
  <cols>
    <col min="1" max="26" width="8" customWidth="1"/>
  </cols>
  <sheetData>
    <row r="1" spans="1:10" ht="18.75" customHeight="1">
      <c r="A1" s="300" t="s">
        <v>1073</v>
      </c>
      <c r="B1" s="301"/>
      <c r="C1" s="301"/>
      <c r="D1" s="301"/>
      <c r="E1" s="301"/>
      <c r="F1" s="301"/>
      <c r="G1" s="301"/>
      <c r="H1" s="301"/>
      <c r="I1" s="301"/>
      <c r="J1" s="301"/>
    </row>
    <row r="2" spans="1:10" ht="14.4">
      <c r="A2" s="303" t="s">
        <v>1074</v>
      </c>
      <c r="B2" s="301"/>
      <c r="C2" s="301"/>
      <c r="D2" s="301"/>
      <c r="E2" s="301"/>
      <c r="F2" s="301"/>
      <c r="G2" s="301"/>
      <c r="H2" s="301"/>
      <c r="I2" s="301"/>
      <c r="J2" s="301"/>
    </row>
    <row r="3" spans="1:10" ht="15.75" customHeight="1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27" customHeight="1">
      <c r="A4" s="257" t="s">
        <v>63</v>
      </c>
      <c r="B4" s="258" t="s">
        <v>992</v>
      </c>
      <c r="C4" s="258" t="s">
        <v>993</v>
      </c>
      <c r="D4" s="258" t="s">
        <v>411</v>
      </c>
      <c r="E4" s="258" t="s">
        <v>994</v>
      </c>
      <c r="F4" s="258" t="s">
        <v>995</v>
      </c>
      <c r="G4" s="258" t="s">
        <v>996</v>
      </c>
      <c r="H4" s="259" t="s">
        <v>997</v>
      </c>
    </row>
    <row r="5" spans="1:10" ht="14.4">
      <c r="A5" s="233" t="s">
        <v>829</v>
      </c>
      <c r="B5" s="105">
        <v>200</v>
      </c>
      <c r="C5" s="105">
        <v>3000</v>
      </c>
      <c r="D5" s="105" t="s">
        <v>998</v>
      </c>
      <c r="E5" s="234">
        <v>4.5</v>
      </c>
      <c r="F5" s="105">
        <v>4</v>
      </c>
      <c r="G5" s="105">
        <v>3</v>
      </c>
      <c r="H5" s="235">
        <f t="shared" ref="H5:H20" si="0">E5*F5*G5</f>
        <v>54</v>
      </c>
    </row>
    <row r="6" spans="1:10" ht="14.4">
      <c r="A6" s="233" t="s">
        <v>999</v>
      </c>
      <c r="B6" s="105">
        <v>100</v>
      </c>
      <c r="C6" s="105">
        <v>2000</v>
      </c>
      <c r="D6" s="105" t="s">
        <v>998</v>
      </c>
      <c r="E6" s="234">
        <v>2</v>
      </c>
      <c r="F6" s="105">
        <v>15</v>
      </c>
      <c r="G6" s="105">
        <v>2</v>
      </c>
      <c r="H6" s="235">
        <f t="shared" si="0"/>
        <v>60</v>
      </c>
    </row>
    <row r="7" spans="1:10" ht="14.4">
      <c r="A7" s="233" t="s">
        <v>1000</v>
      </c>
      <c r="B7" s="105">
        <v>60</v>
      </c>
      <c r="C7" s="105"/>
      <c r="D7" s="105"/>
      <c r="E7" s="234"/>
      <c r="F7" s="105"/>
      <c r="G7" s="105"/>
      <c r="H7" s="235">
        <f t="shared" si="0"/>
        <v>0</v>
      </c>
    </row>
    <row r="8" spans="1:10" ht="14.4">
      <c r="A8" s="233" t="s">
        <v>1001</v>
      </c>
      <c r="B8" s="105">
        <v>10</v>
      </c>
      <c r="C8" s="105">
        <v>8000</v>
      </c>
      <c r="D8" s="105" t="s">
        <v>1002</v>
      </c>
      <c r="E8" s="234">
        <v>0.8</v>
      </c>
      <c r="F8" s="105">
        <v>25</v>
      </c>
      <c r="G8" s="105">
        <v>6</v>
      </c>
      <c r="H8" s="235">
        <f t="shared" si="0"/>
        <v>120</v>
      </c>
    </row>
    <row r="9" spans="1:10" ht="14.4">
      <c r="A9" s="233" t="s">
        <v>829</v>
      </c>
      <c r="B9" s="105">
        <v>80</v>
      </c>
      <c r="C9" s="105">
        <v>1000</v>
      </c>
      <c r="D9" s="105" t="s">
        <v>998</v>
      </c>
      <c r="E9" s="234">
        <v>0.2</v>
      </c>
      <c r="F9" s="105">
        <v>40</v>
      </c>
      <c r="G9" s="105">
        <v>3</v>
      </c>
      <c r="H9" s="235">
        <f t="shared" si="0"/>
        <v>24</v>
      </c>
    </row>
    <row r="10" spans="1:10" ht="14.4">
      <c r="A10" s="233" t="s">
        <v>1000</v>
      </c>
      <c r="B10" s="105">
        <v>100</v>
      </c>
      <c r="C10" s="105" t="s">
        <v>1003</v>
      </c>
      <c r="D10" s="105" t="s">
        <v>998</v>
      </c>
      <c r="E10" s="234">
        <v>1.25</v>
      </c>
      <c r="F10" s="105">
        <v>10</v>
      </c>
      <c r="G10" s="105">
        <v>4</v>
      </c>
      <c r="H10" s="235">
        <f t="shared" si="0"/>
        <v>50</v>
      </c>
    </row>
    <row r="11" spans="1:10" ht="14.4">
      <c r="A11" s="233" t="s">
        <v>1000</v>
      </c>
      <c r="B11" s="105">
        <v>200</v>
      </c>
      <c r="C11" s="105">
        <v>3000</v>
      </c>
      <c r="D11" s="105" t="s">
        <v>998</v>
      </c>
      <c r="E11" s="234">
        <v>2.5</v>
      </c>
      <c r="F11" s="105">
        <v>15</v>
      </c>
      <c r="G11" s="105">
        <v>0</v>
      </c>
      <c r="H11" s="235">
        <f t="shared" si="0"/>
        <v>0</v>
      </c>
    </row>
    <row r="12" spans="1:10" ht="14.4">
      <c r="A12" s="233" t="s">
        <v>1001</v>
      </c>
      <c r="B12" s="105">
        <v>25</v>
      </c>
      <c r="C12" s="105" t="s">
        <v>1003</v>
      </c>
      <c r="D12" s="105" t="s">
        <v>1002</v>
      </c>
      <c r="E12" s="234">
        <v>0.5</v>
      </c>
      <c r="F12" s="105">
        <v>10</v>
      </c>
      <c r="G12" s="105">
        <v>3</v>
      </c>
      <c r="H12" s="235">
        <f t="shared" si="0"/>
        <v>15</v>
      </c>
    </row>
    <row r="13" spans="1:10" ht="14.4">
      <c r="A13" s="233" t="s">
        <v>829</v>
      </c>
      <c r="B13" s="105">
        <v>200</v>
      </c>
      <c r="C13" s="105">
        <v>3000</v>
      </c>
      <c r="D13" s="105" t="s">
        <v>1002</v>
      </c>
      <c r="E13" s="234">
        <v>5</v>
      </c>
      <c r="F13" s="105">
        <v>3</v>
      </c>
      <c r="G13" s="105">
        <v>2</v>
      </c>
      <c r="H13" s="235">
        <f t="shared" si="0"/>
        <v>30</v>
      </c>
    </row>
    <row r="14" spans="1:10" ht="14.4">
      <c r="A14" s="233" t="s">
        <v>999</v>
      </c>
      <c r="B14" s="105">
        <v>100</v>
      </c>
      <c r="C14" s="105">
        <v>2000</v>
      </c>
      <c r="D14" s="105" t="s">
        <v>1002</v>
      </c>
      <c r="E14" s="234">
        <v>1.8</v>
      </c>
      <c r="F14" s="105">
        <v>20</v>
      </c>
      <c r="G14" s="105">
        <v>5</v>
      </c>
      <c r="H14" s="235">
        <f t="shared" si="0"/>
        <v>180</v>
      </c>
    </row>
    <row r="15" spans="1:10" ht="14.4">
      <c r="A15" s="233" t="s">
        <v>829</v>
      </c>
      <c r="B15" s="105">
        <v>100</v>
      </c>
      <c r="C15" s="105" t="s">
        <v>1003</v>
      </c>
      <c r="D15" s="105" t="s">
        <v>1002</v>
      </c>
      <c r="E15" s="234">
        <v>0.25</v>
      </c>
      <c r="F15" s="105">
        <v>10</v>
      </c>
      <c r="G15" s="105">
        <v>5</v>
      </c>
      <c r="H15" s="235">
        <f t="shared" si="0"/>
        <v>12.5</v>
      </c>
    </row>
    <row r="16" spans="1:10" ht="14.4">
      <c r="A16" s="233" t="s">
        <v>829</v>
      </c>
      <c r="B16" s="105">
        <v>10</v>
      </c>
      <c r="C16" s="105">
        <v>800</v>
      </c>
      <c r="D16" s="105" t="s">
        <v>998</v>
      </c>
      <c r="E16" s="234">
        <v>0.2</v>
      </c>
      <c r="F16" s="105">
        <v>25</v>
      </c>
      <c r="G16" s="105">
        <v>2</v>
      </c>
      <c r="H16" s="235">
        <f t="shared" si="0"/>
        <v>10</v>
      </c>
    </row>
    <row r="17" spans="1:9" ht="14.4">
      <c r="A17" s="233" t="s">
        <v>829</v>
      </c>
      <c r="B17" s="105">
        <v>60</v>
      </c>
      <c r="C17" s="105">
        <v>1000</v>
      </c>
      <c r="D17" s="105" t="s">
        <v>1002</v>
      </c>
      <c r="E17" s="234">
        <v>0.15</v>
      </c>
      <c r="F17" s="105">
        <v>25</v>
      </c>
      <c r="G17" s="105">
        <v>0</v>
      </c>
      <c r="H17" s="235">
        <f t="shared" si="0"/>
        <v>0</v>
      </c>
    </row>
    <row r="18" spans="1:9" ht="14.4">
      <c r="A18" s="233" t="s">
        <v>829</v>
      </c>
      <c r="B18" s="105">
        <v>80</v>
      </c>
      <c r="C18" s="105">
        <v>1000</v>
      </c>
      <c r="D18" s="105" t="s">
        <v>1002</v>
      </c>
      <c r="E18" s="234">
        <v>0.2</v>
      </c>
      <c r="F18" s="105">
        <v>30</v>
      </c>
      <c r="G18" s="105">
        <v>2</v>
      </c>
      <c r="H18" s="235">
        <f t="shared" si="0"/>
        <v>12</v>
      </c>
    </row>
    <row r="19" spans="1:9" ht="14.4">
      <c r="A19" s="233" t="s">
        <v>829</v>
      </c>
      <c r="B19" s="105">
        <v>100</v>
      </c>
      <c r="C19" s="105">
        <v>2000</v>
      </c>
      <c r="D19" s="105" t="s">
        <v>998</v>
      </c>
      <c r="E19" s="234">
        <v>0.8</v>
      </c>
      <c r="F19" s="105">
        <v>10</v>
      </c>
      <c r="G19" s="105">
        <v>5</v>
      </c>
      <c r="H19" s="235">
        <f t="shared" si="0"/>
        <v>40</v>
      </c>
    </row>
    <row r="20" spans="1:9" ht="15.75" customHeight="1">
      <c r="A20" s="236" t="s">
        <v>829</v>
      </c>
      <c r="B20" s="237">
        <v>40</v>
      </c>
      <c r="C20" s="237">
        <v>1000</v>
      </c>
      <c r="D20" s="237" t="s">
        <v>998</v>
      </c>
      <c r="E20" s="238">
        <v>0.1</v>
      </c>
      <c r="F20" s="237">
        <v>20</v>
      </c>
      <c r="G20" s="237">
        <v>5</v>
      </c>
      <c r="H20" s="235">
        <f t="shared" si="0"/>
        <v>10</v>
      </c>
    </row>
    <row r="21" spans="1:9" ht="15.75" customHeight="1"/>
    <row r="22" spans="1:9" ht="15.75" customHeight="1">
      <c r="A22" s="5" t="s">
        <v>1075</v>
      </c>
    </row>
    <row r="23" spans="1:9" ht="15.75" customHeight="1"/>
    <row r="24" spans="1:9" ht="15.75" customHeight="1">
      <c r="D24" s="239" t="s">
        <v>411</v>
      </c>
      <c r="E24" s="240" t="s">
        <v>1076</v>
      </c>
    </row>
    <row r="25" spans="1:9" ht="15.75" customHeight="1">
      <c r="C25" s="241" t="s">
        <v>1006</v>
      </c>
      <c r="D25" s="242" t="s">
        <v>998</v>
      </c>
    </row>
    <row r="26" spans="1:9" ht="15.75" customHeight="1"/>
    <row r="27" spans="1:9" ht="15.75" customHeight="1">
      <c r="A27" s="31"/>
      <c r="B27" s="31"/>
      <c r="C27" s="241" t="str">
        <f>"The stock value of "&amp;D25&amp;" is : "</f>
        <v xml:space="preserve">The stock value of Horizon is : </v>
      </c>
      <c r="D27" s="243">
        <f>DSUM(A4:H20,H4,D24:D25)</f>
        <v>248</v>
      </c>
      <c r="E27" s="221" t="s">
        <v>1077</v>
      </c>
    </row>
    <row r="28" spans="1:9" ht="15.75" customHeight="1"/>
    <row r="29" spans="1:9" ht="15.75" customHeight="1">
      <c r="A29" s="222" t="s">
        <v>961</v>
      </c>
      <c r="B29" s="222"/>
      <c r="C29" s="222"/>
      <c r="D29" s="222"/>
      <c r="E29" s="222"/>
      <c r="F29" s="222"/>
      <c r="G29" s="222"/>
      <c r="H29" s="222"/>
      <c r="I29" s="222"/>
    </row>
    <row r="30" spans="1:9" ht="15.75" customHeight="1">
      <c r="A30" s="31" t="s">
        <v>1078</v>
      </c>
    </row>
    <row r="31" spans="1:9" ht="15.75" customHeight="1">
      <c r="A31" s="222" t="s">
        <v>1009</v>
      </c>
      <c r="B31" s="222"/>
      <c r="C31" s="222"/>
      <c r="D31" s="222"/>
      <c r="E31" s="222"/>
      <c r="F31" s="222"/>
      <c r="G31" s="222"/>
      <c r="H31" s="222"/>
      <c r="I31" s="222"/>
    </row>
    <row r="32" spans="1:9" ht="15.75" customHeight="1"/>
    <row r="33" spans="1:9" ht="15.75" customHeight="1">
      <c r="A33" s="244" t="s">
        <v>1079</v>
      </c>
    </row>
    <row r="34" spans="1:9" ht="15.75" customHeight="1"/>
    <row r="35" spans="1:9" ht="15.75" customHeight="1">
      <c r="D35" s="245" t="s">
        <v>63</v>
      </c>
      <c r="E35" s="246" t="s">
        <v>411</v>
      </c>
    </row>
    <row r="36" spans="1:9" ht="15.75" customHeight="1">
      <c r="D36" s="247" t="s">
        <v>829</v>
      </c>
      <c r="E36" s="248" t="s">
        <v>1007</v>
      </c>
    </row>
    <row r="37" spans="1:9" ht="15.75" customHeight="1"/>
    <row r="38" spans="1:9" ht="15.75" customHeight="1">
      <c r="C38" s="241" t="s">
        <v>1080</v>
      </c>
      <c r="D38" s="243">
        <f>DSUM(A4:H20,H4,D35:E36)</f>
        <v>54.5</v>
      </c>
      <c r="E38" s="221" t="s">
        <v>1081</v>
      </c>
    </row>
    <row r="39" spans="1:9" ht="15.75" customHeight="1"/>
    <row r="40" spans="1:9" ht="15.75" customHeight="1">
      <c r="A40" s="5" t="s">
        <v>1066</v>
      </c>
    </row>
    <row r="41" spans="1:9" ht="15.75" customHeight="1"/>
    <row r="42" spans="1:9" ht="15.75" customHeight="1">
      <c r="D42" s="243">
        <f>DSUM(A4:H20,"Value Of Stock",D35:E36)</f>
        <v>54.5</v>
      </c>
      <c r="E42" s="221" t="s">
        <v>1082</v>
      </c>
    </row>
    <row r="43" spans="1:9" ht="15.75" customHeight="1"/>
    <row r="44" spans="1:9" ht="15.75" customHeight="1">
      <c r="A44" s="249" t="s">
        <v>1083</v>
      </c>
      <c r="B44" s="250"/>
      <c r="C44" s="250"/>
      <c r="D44" s="250"/>
      <c r="E44" s="250"/>
      <c r="F44" s="250"/>
      <c r="G44" s="250"/>
      <c r="H44" s="250"/>
      <c r="I44" s="250"/>
    </row>
    <row r="45" spans="1:9" ht="15.75" customHeight="1"/>
    <row r="46" spans="1:9" ht="15.75" customHeight="1">
      <c r="D46" s="245" t="s">
        <v>63</v>
      </c>
      <c r="E46" s="246" t="s">
        <v>992</v>
      </c>
    </row>
    <row r="47" spans="1:9" ht="15.75" customHeight="1">
      <c r="D47" s="247" t="s">
        <v>829</v>
      </c>
      <c r="E47" s="248">
        <v>100</v>
      </c>
    </row>
    <row r="48" spans="1:9" ht="15.75" customHeight="1"/>
    <row r="49" spans="1:9" ht="15.75" customHeight="1">
      <c r="C49" s="241" t="s">
        <v>1084</v>
      </c>
      <c r="D49" s="243">
        <f>DSUM(A4:H20,"Value Of Stock",D46:E47)</f>
        <v>52.5</v>
      </c>
      <c r="E49" s="221" t="s">
        <v>1085</v>
      </c>
    </row>
    <row r="50" spans="1:9" ht="15.75" customHeight="1"/>
    <row r="51" spans="1:9" ht="15.75" customHeight="1">
      <c r="A51" s="249" t="s">
        <v>1086</v>
      </c>
      <c r="B51" s="250"/>
      <c r="C51" s="250"/>
      <c r="D51" s="250"/>
      <c r="E51" s="250"/>
      <c r="F51" s="250"/>
      <c r="G51" s="250"/>
      <c r="H51" s="250"/>
      <c r="I51" s="250"/>
    </row>
    <row r="52" spans="1:9" ht="15.75" customHeight="1"/>
    <row r="53" spans="1:9" ht="15.75" customHeight="1">
      <c r="D53" s="245" t="s">
        <v>63</v>
      </c>
      <c r="E53" s="246" t="s">
        <v>992</v>
      </c>
    </row>
    <row r="54" spans="1:9" ht="15.75" customHeight="1">
      <c r="D54" s="247" t="s">
        <v>829</v>
      </c>
      <c r="E54" s="248" t="s">
        <v>1017</v>
      </c>
    </row>
    <row r="55" spans="1:9" ht="15.75" customHeight="1"/>
    <row r="56" spans="1:9" ht="15.75" customHeight="1">
      <c r="C56" s="241" t="s">
        <v>1084</v>
      </c>
      <c r="D56" s="243">
        <f>DSUM(A4:H20,"Value Of Stock",D53:E54)</f>
        <v>56</v>
      </c>
      <c r="E56" s="221" t="s">
        <v>1087</v>
      </c>
    </row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800000"/>
  </sheetPr>
  <dimension ref="A1:J1000"/>
  <sheetViews>
    <sheetView workbookViewId="0"/>
  </sheetViews>
  <sheetFormatPr defaultColWidth="14.44140625" defaultRowHeight="15" customHeight="1"/>
  <cols>
    <col min="1" max="2" width="12.44140625" customWidth="1"/>
    <col min="3" max="3" width="15.5546875" customWidth="1"/>
    <col min="4" max="4" width="14.88671875" customWidth="1"/>
    <col min="5" max="26" width="8" customWidth="1"/>
  </cols>
  <sheetData>
    <row r="1" spans="1:10" ht="18.75" customHeight="1">
      <c r="A1" s="300" t="s">
        <v>1088</v>
      </c>
      <c r="B1" s="301"/>
      <c r="C1" s="301"/>
      <c r="D1" s="301"/>
      <c r="E1" s="301"/>
      <c r="F1" s="301"/>
      <c r="G1" s="301"/>
      <c r="H1" s="14"/>
      <c r="I1" s="14"/>
      <c r="J1" s="14"/>
    </row>
    <row r="2" spans="1:10" ht="14.4">
      <c r="A2" s="303" t="s">
        <v>1089</v>
      </c>
      <c r="B2" s="301"/>
      <c r="C2" s="301"/>
      <c r="D2" s="301"/>
      <c r="E2" s="301"/>
      <c r="F2" s="301"/>
      <c r="G2" s="301"/>
      <c r="H2" s="11"/>
      <c r="I2" s="11"/>
      <c r="J2" s="11"/>
    </row>
    <row r="4" spans="1:10" ht="14.4">
      <c r="A4" s="105" t="s">
        <v>1090</v>
      </c>
      <c r="B4" s="105" t="s">
        <v>1091</v>
      </c>
      <c r="C4" s="105" t="s">
        <v>1092</v>
      </c>
    </row>
    <row r="5" spans="1:10" ht="14.4">
      <c r="A5" s="62" t="s">
        <v>1093</v>
      </c>
      <c r="B5" s="62" t="s">
        <v>1094</v>
      </c>
      <c r="C5" s="63">
        <f t="shared" ref="C5:C8" si="0">FIND(B5,A5)</f>
        <v>2</v>
      </c>
      <c r="D5" s="262" t="s">
        <v>1095</v>
      </c>
      <c r="G5" s="5" t="e">
        <f>FIND(A5,"E")</f>
        <v>#VALUE!</v>
      </c>
    </row>
    <row r="6" spans="1:10" ht="14.4">
      <c r="A6" s="62" t="s">
        <v>1093</v>
      </c>
      <c r="B6" s="62" t="s">
        <v>921</v>
      </c>
      <c r="C6" s="63">
        <f t="shared" si="0"/>
        <v>1</v>
      </c>
      <c r="D6" s="262" t="s">
        <v>1096</v>
      </c>
    </row>
    <row r="7" spans="1:10" ht="14.4">
      <c r="A7" s="62" t="s">
        <v>1093</v>
      </c>
      <c r="B7" s="62" t="s">
        <v>1097</v>
      </c>
      <c r="C7" s="63">
        <f t="shared" si="0"/>
        <v>5</v>
      </c>
      <c r="D7" s="262" t="s">
        <v>1098</v>
      </c>
    </row>
    <row r="8" spans="1:10" ht="14.4">
      <c r="A8" s="62" t="s">
        <v>1099</v>
      </c>
      <c r="B8" s="62" t="s">
        <v>1100</v>
      </c>
      <c r="C8" s="63">
        <f t="shared" si="0"/>
        <v>3</v>
      </c>
      <c r="D8" s="262" t="s">
        <v>1101</v>
      </c>
    </row>
    <row r="9" spans="1:10" ht="14.4">
      <c r="A9" s="62" t="s">
        <v>1099</v>
      </c>
      <c r="B9" s="62" t="s">
        <v>1100</v>
      </c>
      <c r="C9" s="63">
        <f>FIND(B9,A9,6)</f>
        <v>11</v>
      </c>
      <c r="D9" s="262" t="s">
        <v>1102</v>
      </c>
    </row>
    <row r="10" spans="1:10" ht="14.4">
      <c r="A10" s="62" t="s">
        <v>1099</v>
      </c>
      <c r="B10" s="62" t="s">
        <v>1103</v>
      </c>
      <c r="C10" s="63" t="e">
        <f>FIND(B10,A10)</f>
        <v>#VALUE!</v>
      </c>
      <c r="D10" s="262" t="s">
        <v>1104</v>
      </c>
    </row>
    <row r="13" spans="1:10" ht="14.4">
      <c r="A13" s="105" t="s">
        <v>1105</v>
      </c>
      <c r="C13" s="263" t="s">
        <v>1106</v>
      </c>
      <c r="D13" s="63">
        <f>LARGE(A14:A18,1)</f>
        <v>800</v>
      </c>
      <c r="E13" s="221" t="s">
        <v>1107</v>
      </c>
    </row>
    <row r="14" spans="1:10" ht="14.4">
      <c r="A14" s="62">
        <v>120</v>
      </c>
      <c r="C14" s="263" t="s">
        <v>1108</v>
      </c>
      <c r="D14" s="63">
        <f>LARGE(A14:A18,2)</f>
        <v>250</v>
      </c>
      <c r="E14" s="221" t="s">
        <v>1109</v>
      </c>
    </row>
    <row r="15" spans="1:10" ht="14.4">
      <c r="A15" s="62">
        <v>800</v>
      </c>
      <c r="C15" s="263" t="s">
        <v>1110</v>
      </c>
      <c r="D15" s="63">
        <f>LARGE(A14:A18,3)</f>
        <v>120</v>
      </c>
      <c r="E15" s="221" t="s">
        <v>1111</v>
      </c>
    </row>
    <row r="16" spans="1:10" ht="14.4">
      <c r="A16" s="62">
        <v>100</v>
      </c>
      <c r="C16" s="263" t="s">
        <v>1112</v>
      </c>
      <c r="D16" s="63">
        <f>LARGE(A14:A18,4)</f>
        <v>120</v>
      </c>
      <c r="E16" s="221" t="s">
        <v>1113</v>
      </c>
    </row>
    <row r="17" spans="1:8" ht="14.4">
      <c r="A17" s="62">
        <v>120</v>
      </c>
      <c r="C17" s="263" t="s">
        <v>1114</v>
      </c>
      <c r="D17" s="63">
        <f>LARGE(A14:A18,5)</f>
        <v>100</v>
      </c>
      <c r="E17" s="221" t="s">
        <v>1115</v>
      </c>
    </row>
    <row r="18" spans="1:8" ht="14.4">
      <c r="A18" s="62">
        <v>250</v>
      </c>
    </row>
    <row r="19" spans="1:8" ht="14.4">
      <c r="C19" s="5">
        <f>LARGE(A14:A18,1)</f>
        <v>800</v>
      </c>
    </row>
    <row r="20" spans="1:8" ht="15.75" customHeight="1">
      <c r="A20" s="222" t="s">
        <v>1024</v>
      </c>
      <c r="B20" s="222"/>
      <c r="C20" s="222"/>
      <c r="D20" s="222"/>
      <c r="E20" s="222"/>
      <c r="F20" s="222"/>
      <c r="G20" s="222"/>
      <c r="H20" s="222"/>
    </row>
    <row r="21" spans="1:8" ht="15.75" customHeight="1">
      <c r="A21" s="5" t="s">
        <v>1116</v>
      </c>
    </row>
    <row r="22" spans="1:8" ht="15.75" customHeight="1">
      <c r="A22" s="5" t="s">
        <v>1117</v>
      </c>
    </row>
    <row r="23" spans="1:8" ht="15.75" customHeight="1"/>
    <row r="24" spans="1:8" ht="15.75" customHeight="1">
      <c r="A24" s="222" t="s">
        <v>961</v>
      </c>
      <c r="B24" s="222"/>
      <c r="C24" s="222"/>
      <c r="D24" s="222"/>
      <c r="E24" s="222"/>
      <c r="F24" s="222"/>
      <c r="G24" s="222"/>
      <c r="H24" s="222"/>
    </row>
    <row r="25" spans="1:8" ht="15.75" customHeight="1">
      <c r="A25" s="31" t="s">
        <v>1118</v>
      </c>
    </row>
    <row r="26" spans="1:8" ht="15.75" customHeight="1"/>
    <row r="27" spans="1:8" ht="15.75" customHeight="1">
      <c r="A27" s="222" t="s">
        <v>979</v>
      </c>
      <c r="B27" s="222"/>
      <c r="C27" s="222"/>
      <c r="D27" s="222"/>
      <c r="E27" s="222"/>
      <c r="F27" s="222"/>
      <c r="G27" s="222"/>
      <c r="H27" s="222"/>
    </row>
    <row r="28" spans="1:8" ht="15.75" customHeight="1">
      <c r="A28" s="5" t="s">
        <v>980</v>
      </c>
    </row>
    <row r="29" spans="1:8" ht="15.75" customHeight="1"/>
    <row r="30" spans="1:8" ht="15.75" customHeight="1">
      <c r="A30" s="222" t="s">
        <v>1119</v>
      </c>
      <c r="B30" s="222"/>
      <c r="C30" s="222"/>
      <c r="D30" s="222"/>
      <c r="E30" s="222"/>
      <c r="F30" s="222"/>
      <c r="G30" s="222"/>
      <c r="H30" s="222"/>
    </row>
    <row r="31" spans="1:8" ht="15.75" customHeight="1">
      <c r="A31" s="5" t="s">
        <v>1120</v>
      </c>
    </row>
    <row r="32" spans="1:8" ht="15.75" customHeight="1"/>
    <row r="33" spans="1:8" ht="15.75" customHeight="1">
      <c r="B33" s="105" t="s">
        <v>320</v>
      </c>
      <c r="C33" s="105" t="s">
        <v>425</v>
      </c>
      <c r="D33" s="105" t="s">
        <v>426</v>
      </c>
      <c r="E33" s="105" t="s">
        <v>314</v>
      </c>
    </row>
    <row r="34" spans="1:8" ht="15.75" customHeight="1">
      <c r="B34" s="105" t="s">
        <v>427</v>
      </c>
      <c r="C34" s="264">
        <v>5000</v>
      </c>
      <c r="D34" s="264">
        <v>6000</v>
      </c>
      <c r="E34" s="264">
        <v>4500</v>
      </c>
    </row>
    <row r="35" spans="1:8" ht="15.75" customHeight="1">
      <c r="B35" s="105" t="s">
        <v>428</v>
      </c>
      <c r="C35" s="264">
        <v>5800</v>
      </c>
      <c r="D35" s="264">
        <v>7000</v>
      </c>
      <c r="E35" s="264">
        <v>3000</v>
      </c>
    </row>
    <row r="36" spans="1:8" ht="15.75" customHeight="1">
      <c r="B36" s="105" t="s">
        <v>429</v>
      </c>
      <c r="C36" s="264">
        <v>3500</v>
      </c>
      <c r="D36" s="264">
        <v>2000</v>
      </c>
      <c r="E36" s="264">
        <v>10000</v>
      </c>
    </row>
    <row r="37" spans="1:8" ht="15.75" customHeight="1">
      <c r="B37" s="105" t="s">
        <v>430</v>
      </c>
      <c r="C37" s="264">
        <v>12000</v>
      </c>
      <c r="D37" s="264">
        <v>4000</v>
      </c>
      <c r="E37" s="264">
        <v>6000</v>
      </c>
      <c r="H37" s="5">
        <f>LARGE(C34:E37,2)</f>
        <v>10000</v>
      </c>
    </row>
    <row r="38" spans="1:8" ht="15.75" customHeight="1">
      <c r="H38" s="5">
        <f>LARGE(C34:E37,3)</f>
        <v>7000</v>
      </c>
    </row>
    <row r="39" spans="1:8" ht="15.75" customHeight="1">
      <c r="B39" s="265"/>
      <c r="C39" s="266" t="s">
        <v>1106</v>
      </c>
      <c r="D39" s="267">
        <f>LARGE(C34:E37,1)</f>
        <v>12000</v>
      </c>
      <c r="E39" s="221" t="s">
        <v>1121</v>
      </c>
    </row>
    <row r="40" spans="1:8" ht="15.75" customHeight="1">
      <c r="B40" s="265"/>
      <c r="C40" s="266" t="s">
        <v>1108</v>
      </c>
      <c r="D40" s="267">
        <f>LARGE(C34:E37,2)</f>
        <v>10000</v>
      </c>
      <c r="E40" s="221" t="s">
        <v>1122</v>
      </c>
    </row>
    <row r="41" spans="1:8" ht="15.75" customHeight="1">
      <c r="B41" s="265"/>
      <c r="C41" s="266" t="s">
        <v>1110</v>
      </c>
      <c r="D41" s="267">
        <f>LARGE(C34:E37,3)</f>
        <v>7000</v>
      </c>
      <c r="E41" s="221" t="s">
        <v>1123</v>
      </c>
    </row>
    <row r="42" spans="1:8" ht="15.75" customHeight="1">
      <c r="E42" s="5">
        <f>LARGE(C34:E37,1)</f>
        <v>12000</v>
      </c>
    </row>
    <row r="43" spans="1:8" ht="15.75" customHeight="1">
      <c r="A43" s="222" t="s">
        <v>1124</v>
      </c>
      <c r="B43" s="222"/>
      <c r="C43" s="222"/>
      <c r="D43" s="222"/>
      <c r="E43" s="222"/>
      <c r="F43" s="222"/>
      <c r="G43" s="222"/>
      <c r="H43" s="222"/>
    </row>
    <row r="44" spans="1:8" ht="15.75" customHeight="1">
      <c r="A44" s="5" t="s">
        <v>1125</v>
      </c>
    </row>
    <row r="45" spans="1:8" ht="15.75" customHeight="1">
      <c r="A45" s="5" t="s">
        <v>1126</v>
      </c>
    </row>
    <row r="46" spans="1:8" ht="15.75" customHeight="1"/>
    <row r="47" spans="1:8" ht="15.75" customHeight="1">
      <c r="C47" s="105" t="s">
        <v>1127</v>
      </c>
      <c r="D47" s="267">
        <f>MAX(C34:E37)</f>
        <v>12000</v>
      </c>
      <c r="E47" s="221" t="s">
        <v>1128</v>
      </c>
      <c r="G47" s="268">
        <f>MAX(C34:E37)</f>
        <v>12000</v>
      </c>
    </row>
    <row r="48" spans="1:8" ht="15.75" customHeight="1">
      <c r="C48" s="105" t="s">
        <v>1129</v>
      </c>
      <c r="D48" s="267">
        <f>MIN(C34:E37)</f>
        <v>2000</v>
      </c>
      <c r="E48" s="221" t="s">
        <v>1130</v>
      </c>
      <c r="G48" s="268">
        <f>MIN(C34:E37)</f>
        <v>2000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1000"/>
  <sheetViews>
    <sheetView workbookViewId="0"/>
  </sheetViews>
  <sheetFormatPr defaultColWidth="14.44140625" defaultRowHeight="15" customHeight="1"/>
  <cols>
    <col min="1" max="1" width="13.109375" customWidth="1"/>
    <col min="2" max="2" width="21" customWidth="1"/>
    <col min="3" max="3" width="25.33203125" customWidth="1"/>
    <col min="4" max="26" width="8" customWidth="1"/>
  </cols>
  <sheetData>
    <row r="1" spans="1:7" ht="18.75" customHeight="1">
      <c r="A1" s="300" t="s">
        <v>1131</v>
      </c>
      <c r="B1" s="301"/>
      <c r="C1" s="301"/>
      <c r="D1" s="301"/>
      <c r="E1" s="301"/>
      <c r="F1" s="301"/>
      <c r="G1" s="14"/>
    </row>
    <row r="2" spans="1:7" ht="14.4">
      <c r="A2" s="303" t="s">
        <v>1132</v>
      </c>
      <c r="B2" s="301"/>
      <c r="C2" s="301"/>
      <c r="D2" s="301"/>
      <c r="E2" s="301"/>
      <c r="F2" s="301"/>
      <c r="G2" s="301"/>
    </row>
    <row r="3" spans="1:7" ht="14.4">
      <c r="B3" s="70" t="s">
        <v>1133</v>
      </c>
    </row>
    <row r="4" spans="1:7" ht="26.25" customHeight="1">
      <c r="A4" s="105" t="s">
        <v>1090</v>
      </c>
      <c r="B4" s="269" t="s">
        <v>1134</v>
      </c>
      <c r="C4" s="105" t="s">
        <v>1135</v>
      </c>
    </row>
    <row r="5" spans="1:7" ht="14.4">
      <c r="A5" s="62" t="s">
        <v>1136</v>
      </c>
      <c r="B5" s="62">
        <v>1</v>
      </c>
      <c r="C5" s="63" t="str">
        <f t="shared" ref="C5:C9" si="0">LEFT(A5,B5)</f>
        <v>A</v>
      </c>
      <c r="D5" s="221" t="s">
        <v>1137</v>
      </c>
    </row>
    <row r="6" spans="1:7" ht="14.4">
      <c r="A6" s="62" t="s">
        <v>1136</v>
      </c>
      <c r="B6" s="62">
        <v>2</v>
      </c>
      <c r="C6" s="63" t="str">
        <f t="shared" si="0"/>
        <v>Al</v>
      </c>
      <c r="D6" s="221"/>
    </row>
    <row r="7" spans="1:7" ht="14.4">
      <c r="A7" s="62" t="s">
        <v>1136</v>
      </c>
      <c r="B7" s="62">
        <v>3</v>
      </c>
      <c r="C7" s="63" t="str">
        <f t="shared" si="0"/>
        <v>Ala</v>
      </c>
      <c r="D7" s="221"/>
    </row>
    <row r="8" spans="1:7" ht="14.4">
      <c r="A8" s="62" t="s">
        <v>1138</v>
      </c>
      <c r="B8" s="62">
        <v>6</v>
      </c>
      <c r="C8" s="63" t="str">
        <f t="shared" si="0"/>
        <v>Cardif</v>
      </c>
      <c r="D8" s="221"/>
    </row>
    <row r="9" spans="1:7" ht="14.4">
      <c r="A9" s="62" t="s">
        <v>1139</v>
      </c>
      <c r="B9" s="62">
        <v>4</v>
      </c>
      <c r="C9" s="63" t="str">
        <f t="shared" si="0"/>
        <v>ABC1</v>
      </c>
      <c r="D9" s="221"/>
    </row>
    <row r="10" spans="1:7" ht="14.4">
      <c r="A10" s="270"/>
      <c r="B10" s="270"/>
      <c r="C10" s="271"/>
      <c r="D10" s="221"/>
    </row>
    <row r="11" spans="1:7" ht="14.4">
      <c r="B11" s="70" t="s">
        <v>1140</v>
      </c>
      <c r="D11" s="5" t="str">
        <f>LEFT(A13,FIND(" ",A13)-1)</f>
        <v>Alan</v>
      </c>
    </row>
    <row r="12" spans="1:7" ht="14.4">
      <c r="A12" s="105" t="s">
        <v>244</v>
      </c>
      <c r="B12" s="105" t="s">
        <v>213</v>
      </c>
    </row>
    <row r="13" spans="1:7" ht="14.4">
      <c r="A13" s="62" t="s">
        <v>1136</v>
      </c>
      <c r="B13" s="63" t="str">
        <f t="shared" ref="B13:B15" si="1">LEFT(A13,FIND(" ",A13)-1)</f>
        <v>Alan</v>
      </c>
      <c r="C13" s="221" t="s">
        <v>1141</v>
      </c>
    </row>
    <row r="14" spans="1:7" ht="14.4">
      <c r="A14" s="62" t="s">
        <v>1142</v>
      </c>
      <c r="B14" s="63" t="str">
        <f t="shared" si="1"/>
        <v>Bob</v>
      </c>
      <c r="C14" s="221"/>
    </row>
    <row r="15" spans="1:7" ht="14.4">
      <c r="A15" s="62" t="s">
        <v>1143</v>
      </c>
      <c r="B15" s="63" t="str">
        <f t="shared" si="1"/>
        <v>Carol</v>
      </c>
      <c r="C15" s="221"/>
    </row>
    <row r="16" spans="1:7" ht="14.4">
      <c r="C16" s="5" t="str">
        <f>LEFT(A13,FIND(" ",A13))</f>
        <v xml:space="preserve">Alan </v>
      </c>
      <c r="D16" s="5" t="str">
        <f t="shared" ref="D16:D18" si="2">LEFT(A13,FIND(" ",A13))</f>
        <v xml:space="preserve">Alan </v>
      </c>
    </row>
    <row r="17" spans="1:4" ht="14.4">
      <c r="B17" s="70" t="s">
        <v>1144</v>
      </c>
      <c r="D17" s="5" t="str">
        <f t="shared" si="2"/>
        <v xml:space="preserve">Bob </v>
      </c>
    </row>
    <row r="18" spans="1:4" ht="14.4">
      <c r="A18" s="105" t="s">
        <v>1090</v>
      </c>
      <c r="B18" s="105" t="s">
        <v>1145</v>
      </c>
      <c r="D18" s="5" t="str">
        <f t="shared" si="2"/>
        <v xml:space="preserve">Carol </v>
      </c>
    </row>
    <row r="19" spans="1:4" ht="14.4">
      <c r="A19" s="62" t="s">
        <v>1136</v>
      </c>
      <c r="B19" s="63">
        <f>LEN(A19)</f>
        <v>10</v>
      </c>
      <c r="C19" s="221" t="s">
        <v>1146</v>
      </c>
    </row>
    <row r="20" spans="1:4" ht="14.4">
      <c r="A20" s="62" t="s">
        <v>1142</v>
      </c>
      <c r="B20" s="63" t="s">
        <v>516</v>
      </c>
      <c r="C20" s="221"/>
    </row>
    <row r="21" spans="1:4" ht="15.75" customHeight="1">
      <c r="A21" s="62" t="s">
        <v>1143</v>
      </c>
      <c r="B21" s="63" t="s">
        <v>516</v>
      </c>
      <c r="C21" s="221"/>
    </row>
    <row r="22" spans="1:4" ht="15.75" customHeight="1">
      <c r="A22" s="62" t="s">
        <v>1138</v>
      </c>
      <c r="B22" s="63" t="s">
        <v>516</v>
      </c>
      <c r="C22" s="221"/>
    </row>
    <row r="23" spans="1:4" ht="15.75" customHeight="1">
      <c r="A23" s="62" t="s">
        <v>1139</v>
      </c>
      <c r="B23" s="63" t="s">
        <v>516</v>
      </c>
      <c r="C23" s="221"/>
    </row>
    <row r="24" spans="1:4" ht="15.75" customHeight="1"/>
    <row r="25" spans="1:4" ht="15.75" customHeight="1">
      <c r="B25" s="272" t="s">
        <v>1147</v>
      </c>
    </row>
    <row r="26" spans="1:4" ht="15.75" customHeight="1">
      <c r="A26" s="105" t="s">
        <v>1148</v>
      </c>
      <c r="B26" s="105" t="s">
        <v>1149</v>
      </c>
    </row>
    <row r="27" spans="1:4" ht="15.75" customHeight="1">
      <c r="A27" s="62" t="s">
        <v>1150</v>
      </c>
      <c r="B27" s="63" t="str">
        <f>LOWER(A27)</f>
        <v>alan jones</v>
      </c>
      <c r="C27" s="221" t="s">
        <v>1151</v>
      </c>
    </row>
    <row r="28" spans="1:4" ht="15.75" customHeight="1">
      <c r="A28" s="62" t="s">
        <v>1152</v>
      </c>
      <c r="B28" s="63" t="s">
        <v>516</v>
      </c>
      <c r="C28" s="221"/>
    </row>
    <row r="29" spans="1:4" ht="15.75" customHeight="1">
      <c r="A29" s="62" t="s">
        <v>1153</v>
      </c>
      <c r="B29" s="63" t="s">
        <v>516</v>
      </c>
      <c r="C29" s="221"/>
    </row>
    <row r="30" spans="1:4" ht="15.75" customHeight="1">
      <c r="A30" s="62" t="s">
        <v>1154</v>
      </c>
      <c r="B30" s="63" t="s">
        <v>516</v>
      </c>
      <c r="C30" s="221"/>
    </row>
    <row r="31" spans="1:4" ht="15.75" customHeight="1">
      <c r="A31" s="62" t="s">
        <v>1139</v>
      </c>
      <c r="B31" s="63" t="s">
        <v>516</v>
      </c>
      <c r="C31" s="221"/>
    </row>
    <row r="32" spans="1:4" ht="15.75" customHeight="1"/>
    <row r="33" spans="1:4" ht="15.75" customHeight="1">
      <c r="B33" s="272" t="s">
        <v>1155</v>
      </c>
    </row>
    <row r="34" spans="1:4" ht="15.75" customHeight="1"/>
    <row r="35" spans="1:4" ht="15.75" customHeight="1">
      <c r="A35" s="105" t="s">
        <v>247</v>
      </c>
      <c r="B35" s="105" t="s">
        <v>1156</v>
      </c>
      <c r="C35" s="105" t="s">
        <v>1157</v>
      </c>
    </row>
    <row r="36" spans="1:4" ht="15.75" customHeight="1">
      <c r="A36" s="220">
        <v>35855</v>
      </c>
      <c r="B36" s="220">
        <v>35861</v>
      </c>
      <c r="C36" s="63">
        <f t="shared" ref="C36:C38" si="3">NETWORKDAYS(A36,B36)</f>
        <v>5</v>
      </c>
      <c r="D36" s="262" t="s">
        <v>1158</v>
      </c>
    </row>
    <row r="37" spans="1:4" ht="15.75" customHeight="1">
      <c r="A37" s="220">
        <v>35910</v>
      </c>
      <c r="B37" s="220">
        <v>36006</v>
      </c>
      <c r="C37" s="63">
        <f t="shared" si="3"/>
        <v>69</v>
      </c>
      <c r="D37" s="262"/>
    </row>
    <row r="38" spans="1:4" ht="15.75" customHeight="1">
      <c r="A38" s="220">
        <v>36153</v>
      </c>
      <c r="B38" s="220">
        <v>36165</v>
      </c>
      <c r="C38" s="63">
        <f t="shared" si="3"/>
        <v>9</v>
      </c>
      <c r="D38" s="262"/>
    </row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G2"/>
  </mergeCell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1000"/>
  <sheetViews>
    <sheetView workbookViewId="0"/>
  </sheetViews>
  <sheetFormatPr defaultColWidth="14.44140625" defaultRowHeight="15" customHeight="1"/>
  <cols>
    <col min="1" max="1" width="14.6640625" customWidth="1"/>
    <col min="2" max="2" width="13.109375" customWidth="1"/>
    <col min="3" max="26" width="8" customWidth="1"/>
  </cols>
  <sheetData>
    <row r="1" spans="1:7" ht="18.75" customHeight="1">
      <c r="A1" s="300" t="s">
        <v>1159</v>
      </c>
      <c r="B1" s="301"/>
      <c r="C1" s="301"/>
      <c r="D1" s="301"/>
      <c r="E1" s="301"/>
      <c r="F1" s="301"/>
      <c r="G1" s="14"/>
    </row>
    <row r="2" spans="1:7" ht="14.4">
      <c r="A2" s="303" t="s">
        <v>1160</v>
      </c>
      <c r="B2" s="301"/>
      <c r="C2" s="301"/>
      <c r="D2" s="301"/>
      <c r="E2" s="301"/>
      <c r="F2" s="301"/>
      <c r="G2" s="301"/>
    </row>
    <row r="3" spans="1:7" ht="14.4">
      <c r="A3" s="4"/>
      <c r="B3" s="4"/>
      <c r="C3" s="4"/>
      <c r="D3" s="4"/>
      <c r="E3" s="4"/>
      <c r="F3" s="4"/>
      <c r="G3" s="4"/>
    </row>
    <row r="4" spans="1:7" ht="14.4">
      <c r="B4" s="70" t="s">
        <v>1161</v>
      </c>
    </row>
    <row r="5" spans="1:7" ht="14.4">
      <c r="A5" s="105" t="s">
        <v>1162</v>
      </c>
      <c r="B5" s="105" t="s">
        <v>1163</v>
      </c>
      <c r="C5" s="105" t="s">
        <v>184</v>
      </c>
    </row>
    <row r="6" spans="1:7" ht="14.4">
      <c r="A6" s="62">
        <v>3</v>
      </c>
      <c r="B6" s="62">
        <v>2</v>
      </c>
      <c r="C6" s="63">
        <f>POWER(A6,B6)</f>
        <v>9</v>
      </c>
      <c r="D6" s="221" t="s">
        <v>1164</v>
      </c>
    </row>
    <row r="7" spans="1:7" ht="14.4">
      <c r="A7" s="62">
        <v>3</v>
      </c>
      <c r="B7" s="62">
        <v>4</v>
      </c>
      <c r="C7" s="63" t="s">
        <v>516</v>
      </c>
      <c r="D7" s="221"/>
    </row>
    <row r="8" spans="1:7" ht="14.4">
      <c r="A8" s="62">
        <v>5</v>
      </c>
      <c r="B8" s="62">
        <v>2</v>
      </c>
      <c r="C8" s="63" t="s">
        <v>516</v>
      </c>
      <c r="D8" s="221"/>
    </row>
    <row r="9" spans="1:7" ht="14.4">
      <c r="A9" s="62">
        <v>5</v>
      </c>
      <c r="B9" s="62">
        <v>4</v>
      </c>
      <c r="C9" s="63" t="s">
        <v>516</v>
      </c>
      <c r="D9" s="221"/>
    </row>
    <row r="11" spans="1:7" ht="14.4">
      <c r="B11" s="70" t="s">
        <v>1165</v>
      </c>
    </row>
    <row r="12" spans="1:7" ht="14.4">
      <c r="A12" s="338" t="s">
        <v>1166</v>
      </c>
      <c r="B12" s="308"/>
      <c r="C12" s="105" t="s">
        <v>63</v>
      </c>
    </row>
    <row r="13" spans="1:7" ht="14.4">
      <c r="A13" s="62">
        <v>2</v>
      </c>
      <c r="B13" s="62">
        <v>3</v>
      </c>
      <c r="C13" s="63">
        <f>PRODUCT(A13,B13)</f>
        <v>6</v>
      </c>
      <c r="D13" s="221" t="s">
        <v>1167</v>
      </c>
    </row>
    <row r="14" spans="1:7" ht="14.4">
      <c r="A14" s="62">
        <v>5</v>
      </c>
      <c r="B14" s="62">
        <v>10</v>
      </c>
      <c r="C14" s="63" t="s">
        <v>516</v>
      </c>
      <c r="D14" s="221"/>
    </row>
    <row r="15" spans="1:7" ht="14.4">
      <c r="A15" s="62">
        <v>3</v>
      </c>
      <c r="B15" s="62">
        <v>7</v>
      </c>
      <c r="C15" s="63" t="s">
        <v>516</v>
      </c>
      <c r="D15" s="221"/>
    </row>
    <row r="16" spans="1:7" ht="14.4">
      <c r="C16" s="63">
        <f>PRODUCT(A13:B15)</f>
        <v>6300</v>
      </c>
      <c r="D16" s="221"/>
    </row>
    <row r="18" spans="1:4" ht="14.4">
      <c r="B18" s="70" t="s">
        <v>1168</v>
      </c>
    </row>
    <row r="19" spans="1:4" ht="14.4">
      <c r="A19" s="105" t="s">
        <v>1169</v>
      </c>
      <c r="B19" s="105" t="s">
        <v>1170</v>
      </c>
    </row>
    <row r="20" spans="1:4" ht="14.4">
      <c r="A20" s="62" t="s">
        <v>1171</v>
      </c>
      <c r="B20" s="63" t="str">
        <f>PROPER(A20)</f>
        <v>Alan Jones</v>
      </c>
      <c r="C20" s="221" t="s">
        <v>1172</v>
      </c>
    </row>
    <row r="21" spans="1:4" ht="15.75" customHeight="1">
      <c r="A21" s="62" t="s">
        <v>1173</v>
      </c>
      <c r="B21" s="63" t="s">
        <v>516</v>
      </c>
      <c r="C21" s="221"/>
    </row>
    <row r="22" spans="1:4" ht="15.75" customHeight="1">
      <c r="A22" s="62" t="s">
        <v>1174</v>
      </c>
      <c r="B22" s="63" t="s">
        <v>516</v>
      </c>
      <c r="C22" s="221"/>
    </row>
    <row r="23" spans="1:4" ht="15.75" customHeight="1">
      <c r="A23" s="62" t="s">
        <v>1175</v>
      </c>
      <c r="B23" s="63" t="s">
        <v>516</v>
      </c>
      <c r="C23" s="221"/>
    </row>
    <row r="24" spans="1:4" ht="15.75" customHeight="1">
      <c r="A24" s="62" t="s">
        <v>1139</v>
      </c>
      <c r="B24" s="63" t="s">
        <v>516</v>
      </c>
      <c r="C24" s="221"/>
    </row>
    <row r="25" spans="1:4" ht="15.75" customHeight="1"/>
    <row r="26" spans="1:4" ht="15.75" customHeight="1">
      <c r="B26" s="70" t="s">
        <v>1176</v>
      </c>
    </row>
    <row r="27" spans="1:4" ht="26.25" customHeight="1">
      <c r="A27" s="269" t="s">
        <v>1177</v>
      </c>
      <c r="B27" s="269" t="s">
        <v>1178</v>
      </c>
      <c r="C27" s="269" t="s">
        <v>1179</v>
      </c>
    </row>
    <row r="28" spans="1:4" ht="15.75" customHeight="1">
      <c r="A28" s="62" t="s">
        <v>31</v>
      </c>
      <c r="B28" s="62">
        <v>3</v>
      </c>
      <c r="C28" s="63" t="str">
        <f>REPT(A28,B28)</f>
        <v>AAA</v>
      </c>
      <c r="D28" s="221" t="s">
        <v>1180</v>
      </c>
    </row>
    <row r="29" spans="1:4" ht="15.75" customHeight="1">
      <c r="A29" s="62" t="s">
        <v>1181</v>
      </c>
      <c r="B29" s="62">
        <v>3</v>
      </c>
      <c r="C29" s="63" t="s">
        <v>516</v>
      </c>
      <c r="D29" s="221"/>
    </row>
    <row r="30" spans="1:4" ht="15.75" customHeight="1">
      <c r="A30" s="62" t="s">
        <v>1182</v>
      </c>
      <c r="B30" s="62">
        <v>10</v>
      </c>
      <c r="C30" s="63" t="s">
        <v>516</v>
      </c>
      <c r="D30" s="221"/>
    </row>
    <row r="31" spans="1:4" ht="15.75" customHeight="1">
      <c r="A31" s="62" t="s">
        <v>1183</v>
      </c>
      <c r="B31" s="62">
        <v>10</v>
      </c>
      <c r="C31" s="63" t="s">
        <v>516</v>
      </c>
      <c r="D31" s="221"/>
    </row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G2"/>
    <mergeCell ref="A12:B12"/>
  </mergeCells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000"/>
  <sheetViews>
    <sheetView workbookViewId="0"/>
  </sheetViews>
  <sheetFormatPr defaultColWidth="14.44140625" defaultRowHeight="15" customHeight="1"/>
  <cols>
    <col min="1" max="1" width="8" customWidth="1"/>
    <col min="2" max="3" width="5" customWidth="1"/>
    <col min="4" max="4" width="5.33203125" customWidth="1"/>
    <col min="5" max="5" width="5" customWidth="1"/>
    <col min="6" max="6" width="5.33203125" customWidth="1"/>
    <col min="7" max="7" width="5.5546875" customWidth="1"/>
    <col min="8" max="8" width="6.109375" customWidth="1"/>
    <col min="9" max="9" width="14.88671875" customWidth="1"/>
    <col min="10" max="10" width="21" customWidth="1"/>
    <col min="11" max="11" width="11.109375" customWidth="1"/>
    <col min="12" max="26" width="8" customWidth="1"/>
  </cols>
  <sheetData>
    <row r="1" spans="1:15" ht="18.75" customHeight="1">
      <c r="A1" s="300" t="s">
        <v>1184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</row>
    <row r="2" spans="1:15" ht="14.4">
      <c r="A2" s="303"/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</row>
    <row r="3" spans="1:15" ht="14.4">
      <c r="M3" s="5">
        <f>IF(H5&gt;=I5,H5*10%,H5*5%)</f>
        <v>380</v>
      </c>
    </row>
    <row r="4" spans="1:15" ht="14.4">
      <c r="A4" s="110" t="s">
        <v>126</v>
      </c>
      <c r="B4" s="110" t="s">
        <v>127</v>
      </c>
      <c r="C4" s="110" t="s">
        <v>128</v>
      </c>
      <c r="D4" s="110" t="s">
        <v>129</v>
      </c>
      <c r="E4" s="110" t="s">
        <v>130</v>
      </c>
      <c r="F4" s="110" t="s">
        <v>131</v>
      </c>
      <c r="G4" s="110" t="s">
        <v>132</v>
      </c>
      <c r="H4" s="110" t="s">
        <v>133</v>
      </c>
      <c r="I4" s="110" t="s">
        <v>134</v>
      </c>
      <c r="J4" s="110" t="s">
        <v>834</v>
      </c>
      <c r="K4" s="110" t="s">
        <v>1185</v>
      </c>
    </row>
    <row r="5" spans="1:15" ht="14.4">
      <c r="A5" s="26" t="s">
        <v>136</v>
      </c>
      <c r="B5" s="26">
        <v>2000</v>
      </c>
      <c r="C5" s="26">
        <v>1500</v>
      </c>
      <c r="D5" s="26">
        <v>300</v>
      </c>
      <c r="E5" s="26">
        <v>1400</v>
      </c>
      <c r="F5" s="26">
        <v>1000</v>
      </c>
      <c r="G5" s="26">
        <v>1400</v>
      </c>
      <c r="H5" s="26">
        <f t="shared" ref="H5:H15" si="0">SUM(B5:G5)</f>
        <v>7600</v>
      </c>
      <c r="I5" s="26">
        <v>10000</v>
      </c>
      <c r="J5" s="26" t="str">
        <f t="shared" ref="J5:J15" si="1">IF(H5&gt;I5,"ACHIEVED","NOT ACHIVED")</f>
        <v>NOT ACHIVED</v>
      </c>
      <c r="K5" s="26">
        <f t="shared" ref="K5:K15" si="2">IF(H5&gt;=I5,H5*10%,H5*5%)</f>
        <v>380</v>
      </c>
      <c r="L5" s="5" t="str">
        <f>IF(H5&gt;I5,"10%","5%")</f>
        <v>5%</v>
      </c>
      <c r="M5" s="5" t="str">
        <f t="shared" ref="M5:M16" si="3">IF(H5&gt;I5,"archined","not")</f>
        <v>not</v>
      </c>
      <c r="N5" s="5" t="str">
        <f t="shared" ref="N5:N15" si="4">IF(H5&gt;I5,"Archived","Not Archived")</f>
        <v>Not Archived</v>
      </c>
    </row>
    <row r="6" spans="1:15" ht="14.4">
      <c r="A6" s="26" t="s">
        <v>114</v>
      </c>
      <c r="B6" s="26">
        <v>5000</v>
      </c>
      <c r="C6" s="26">
        <v>1200</v>
      </c>
      <c r="D6" s="26">
        <v>500</v>
      </c>
      <c r="E6" s="26">
        <v>1200</v>
      </c>
      <c r="F6" s="26">
        <v>1200</v>
      </c>
      <c r="G6" s="26">
        <v>2800</v>
      </c>
      <c r="H6" s="26">
        <f t="shared" si="0"/>
        <v>11900</v>
      </c>
      <c r="I6" s="26">
        <v>12000</v>
      </c>
      <c r="J6" s="26" t="str">
        <f t="shared" si="1"/>
        <v>NOT ACHIVED</v>
      </c>
      <c r="K6" s="26">
        <f t="shared" si="2"/>
        <v>595</v>
      </c>
      <c r="M6" s="5" t="str">
        <f t="shared" si="3"/>
        <v>not</v>
      </c>
      <c r="N6" s="5" t="str">
        <f t="shared" si="4"/>
        <v>Not Archived</v>
      </c>
    </row>
    <row r="7" spans="1:15" ht="14.4">
      <c r="A7" s="26" t="s">
        <v>112</v>
      </c>
      <c r="B7" s="26">
        <v>3000</v>
      </c>
      <c r="C7" s="26">
        <v>800</v>
      </c>
      <c r="D7" s="26">
        <v>1200</v>
      </c>
      <c r="E7" s="26">
        <v>3000</v>
      </c>
      <c r="F7" s="26">
        <v>1500</v>
      </c>
      <c r="G7" s="26">
        <v>3500</v>
      </c>
      <c r="H7" s="26">
        <f t="shared" si="0"/>
        <v>13000</v>
      </c>
      <c r="I7" s="26">
        <v>18000</v>
      </c>
      <c r="J7" s="26" t="str">
        <f t="shared" si="1"/>
        <v>NOT ACHIVED</v>
      </c>
      <c r="K7" s="26">
        <f t="shared" si="2"/>
        <v>650</v>
      </c>
      <c r="M7" s="5" t="str">
        <f t="shared" si="3"/>
        <v>not</v>
      </c>
      <c r="N7" s="5" t="str">
        <f t="shared" si="4"/>
        <v>Not Archived</v>
      </c>
    </row>
    <row r="8" spans="1:15" ht="14.4">
      <c r="A8" s="26" t="s">
        <v>22</v>
      </c>
      <c r="B8" s="26">
        <v>1000</v>
      </c>
      <c r="C8" s="26">
        <v>900</v>
      </c>
      <c r="D8" s="26">
        <v>1800</v>
      </c>
      <c r="E8" s="26">
        <v>5000</v>
      </c>
      <c r="F8" s="26">
        <v>1400</v>
      </c>
      <c r="G8" s="26">
        <v>1200</v>
      </c>
      <c r="H8" s="26">
        <f t="shared" si="0"/>
        <v>11300</v>
      </c>
      <c r="I8" s="26">
        <v>10000</v>
      </c>
      <c r="J8" s="26" t="str">
        <f t="shared" si="1"/>
        <v>ACHIEVED</v>
      </c>
      <c r="K8" s="26">
        <f t="shared" si="2"/>
        <v>1130</v>
      </c>
      <c r="M8" s="5" t="str">
        <f t="shared" si="3"/>
        <v>archined</v>
      </c>
      <c r="N8" s="5" t="str">
        <f t="shared" si="4"/>
        <v>Archived</v>
      </c>
    </row>
    <row r="9" spans="1:15" ht="14.4">
      <c r="A9" s="26" t="s">
        <v>17</v>
      </c>
      <c r="B9" s="26">
        <v>500</v>
      </c>
      <c r="C9" s="26">
        <v>1000</v>
      </c>
      <c r="D9" s="26">
        <v>2300</v>
      </c>
      <c r="E9" s="26">
        <v>8000</v>
      </c>
      <c r="F9" s="26">
        <v>1700</v>
      </c>
      <c r="G9" s="26">
        <v>1400</v>
      </c>
      <c r="H9" s="26">
        <f t="shared" si="0"/>
        <v>14900</v>
      </c>
      <c r="I9" s="26">
        <v>12000</v>
      </c>
      <c r="J9" s="26" t="str">
        <f t="shared" si="1"/>
        <v>ACHIEVED</v>
      </c>
      <c r="K9" s="26">
        <f t="shared" si="2"/>
        <v>1490</v>
      </c>
      <c r="M9" s="5" t="str">
        <f t="shared" si="3"/>
        <v>archined</v>
      </c>
      <c r="N9" s="5" t="str">
        <f t="shared" si="4"/>
        <v>Archived</v>
      </c>
    </row>
    <row r="10" spans="1:15" ht="14.4">
      <c r="A10" s="26" t="s">
        <v>13</v>
      </c>
      <c r="B10" s="26">
        <v>800</v>
      </c>
      <c r="C10" s="26">
        <v>500</v>
      </c>
      <c r="D10" s="26">
        <v>2400</v>
      </c>
      <c r="E10" s="26">
        <v>1900</v>
      </c>
      <c r="F10" s="26">
        <v>1800</v>
      </c>
      <c r="G10" s="26">
        <v>1800</v>
      </c>
      <c r="H10" s="26">
        <f t="shared" si="0"/>
        <v>9200</v>
      </c>
      <c r="I10" s="26">
        <v>10000</v>
      </c>
      <c r="J10" s="26" t="str">
        <f t="shared" si="1"/>
        <v>NOT ACHIVED</v>
      </c>
      <c r="K10" s="26">
        <f t="shared" si="2"/>
        <v>460</v>
      </c>
      <c r="M10" s="5" t="str">
        <f t="shared" si="3"/>
        <v>not</v>
      </c>
      <c r="N10" s="5" t="str">
        <f t="shared" si="4"/>
        <v>Not Archived</v>
      </c>
    </row>
    <row r="11" spans="1:15" ht="14.4">
      <c r="A11" s="26" t="s">
        <v>137</v>
      </c>
      <c r="B11" s="26">
        <v>1200</v>
      </c>
      <c r="C11" s="26">
        <v>1400</v>
      </c>
      <c r="D11" s="26">
        <v>1500</v>
      </c>
      <c r="E11" s="26">
        <v>700</v>
      </c>
      <c r="F11" s="26">
        <v>2500</v>
      </c>
      <c r="G11" s="26">
        <v>7000</v>
      </c>
      <c r="H11" s="26">
        <f t="shared" si="0"/>
        <v>14300</v>
      </c>
      <c r="I11" s="26">
        <v>12000</v>
      </c>
      <c r="J11" s="26" t="str">
        <f t="shared" si="1"/>
        <v>ACHIEVED</v>
      </c>
      <c r="K11" s="26">
        <f t="shared" si="2"/>
        <v>1430</v>
      </c>
      <c r="M11" s="5" t="str">
        <f t="shared" si="3"/>
        <v>archined</v>
      </c>
      <c r="N11" s="5" t="str">
        <f t="shared" si="4"/>
        <v>Archived</v>
      </c>
    </row>
    <row r="12" spans="1:15" ht="14.4">
      <c r="A12" s="26" t="s">
        <v>138</v>
      </c>
      <c r="B12" s="26">
        <v>1500</v>
      </c>
      <c r="C12" s="26">
        <v>1800</v>
      </c>
      <c r="D12" s="26">
        <v>1800</v>
      </c>
      <c r="E12" s="26">
        <v>1800</v>
      </c>
      <c r="F12" s="26">
        <v>300</v>
      </c>
      <c r="G12" s="26">
        <v>1500</v>
      </c>
      <c r="H12" s="26">
        <f t="shared" si="0"/>
        <v>8700</v>
      </c>
      <c r="I12" s="26">
        <v>10000</v>
      </c>
      <c r="J12" s="26" t="str">
        <f t="shared" si="1"/>
        <v>NOT ACHIVED</v>
      </c>
      <c r="K12" s="26">
        <f t="shared" si="2"/>
        <v>435</v>
      </c>
      <c r="M12" s="5" t="str">
        <f t="shared" si="3"/>
        <v>not</v>
      </c>
      <c r="N12" s="5" t="str">
        <f t="shared" si="4"/>
        <v>Not Archived</v>
      </c>
    </row>
    <row r="13" spans="1:15" ht="14.4">
      <c r="A13" s="26" t="s">
        <v>139</v>
      </c>
      <c r="B13" s="26">
        <v>1800</v>
      </c>
      <c r="C13" s="26">
        <v>2500</v>
      </c>
      <c r="D13" s="26">
        <v>1700</v>
      </c>
      <c r="E13" s="26">
        <v>1500</v>
      </c>
      <c r="F13" s="26">
        <v>2800</v>
      </c>
      <c r="G13" s="26">
        <v>1800</v>
      </c>
      <c r="H13" s="26">
        <f t="shared" si="0"/>
        <v>12100</v>
      </c>
      <c r="I13" s="26">
        <v>12000</v>
      </c>
      <c r="J13" s="26" t="str">
        <f t="shared" si="1"/>
        <v>ACHIEVED</v>
      </c>
      <c r="K13" s="26">
        <f t="shared" si="2"/>
        <v>1210</v>
      </c>
      <c r="M13" s="5" t="str">
        <f t="shared" si="3"/>
        <v>archined</v>
      </c>
      <c r="N13" s="5" t="str">
        <f t="shared" si="4"/>
        <v>Archived</v>
      </c>
    </row>
    <row r="14" spans="1:15" ht="14.4">
      <c r="A14" s="26" t="s">
        <v>140</v>
      </c>
      <c r="B14" s="26">
        <v>200</v>
      </c>
      <c r="C14" s="26">
        <v>3000</v>
      </c>
      <c r="D14" s="26">
        <v>1900</v>
      </c>
      <c r="E14" s="26">
        <v>1200</v>
      </c>
      <c r="F14" s="26">
        <v>1500</v>
      </c>
      <c r="G14" s="26">
        <v>3000</v>
      </c>
      <c r="H14" s="26">
        <f t="shared" si="0"/>
        <v>10800</v>
      </c>
      <c r="I14" s="26">
        <v>10000</v>
      </c>
      <c r="J14" s="26" t="str">
        <f t="shared" si="1"/>
        <v>ACHIEVED</v>
      </c>
      <c r="K14" s="26">
        <f t="shared" si="2"/>
        <v>1080</v>
      </c>
      <c r="M14" s="5" t="str">
        <f t="shared" si="3"/>
        <v>archined</v>
      </c>
      <c r="N14" s="5" t="str">
        <f t="shared" si="4"/>
        <v>Archived</v>
      </c>
    </row>
    <row r="15" spans="1:15" ht="14.4">
      <c r="A15" s="26" t="s">
        <v>141</v>
      </c>
      <c r="B15" s="26">
        <v>1600</v>
      </c>
      <c r="C15" s="26">
        <v>1200</v>
      </c>
      <c r="D15" s="26">
        <v>2000</v>
      </c>
      <c r="E15" s="26">
        <v>800</v>
      </c>
      <c r="F15" s="26">
        <v>1700</v>
      </c>
      <c r="G15" s="26">
        <v>800</v>
      </c>
      <c r="H15" s="26">
        <f t="shared" si="0"/>
        <v>8100</v>
      </c>
      <c r="I15" s="26">
        <v>10000</v>
      </c>
      <c r="J15" s="26" t="str">
        <f t="shared" si="1"/>
        <v>NOT ACHIVED</v>
      </c>
      <c r="K15" s="26">
        <f t="shared" si="2"/>
        <v>405</v>
      </c>
      <c r="M15" s="5" t="str">
        <f t="shared" si="3"/>
        <v>not</v>
      </c>
      <c r="N15" s="5" t="str">
        <f t="shared" si="4"/>
        <v>Not Archived</v>
      </c>
    </row>
    <row r="16" spans="1:15" ht="14.4">
      <c r="M16" s="5" t="str">
        <f t="shared" si="3"/>
        <v>not</v>
      </c>
      <c r="N16" s="5" t="s">
        <v>1186</v>
      </c>
      <c r="O16" s="5" t="s">
        <v>184</v>
      </c>
    </row>
    <row r="17" spans="1:14" ht="14.4">
      <c r="A17" s="5" t="s">
        <v>142</v>
      </c>
      <c r="J17" s="5" t="s">
        <v>1187</v>
      </c>
      <c r="M17" s="5" t="s">
        <v>1188</v>
      </c>
      <c r="N17" s="5">
        <f>VLOOKUP(M17,$A$4:$K$15,9,0)</f>
        <v>12000</v>
      </c>
    </row>
    <row r="18" spans="1:14" ht="14.4">
      <c r="A18" s="5" t="s">
        <v>146</v>
      </c>
      <c r="J18" s="5" t="s">
        <v>836</v>
      </c>
    </row>
    <row r="19" spans="1:14" ht="14.4">
      <c r="A19" s="5" t="s">
        <v>147</v>
      </c>
      <c r="J19" s="5" t="s">
        <v>1189</v>
      </c>
    </row>
    <row r="20" spans="1:14" ht="14.4">
      <c r="A20" s="5" t="s">
        <v>148</v>
      </c>
      <c r="J20" s="5" t="s">
        <v>1190</v>
      </c>
    </row>
    <row r="21" spans="1:14" ht="15.75" customHeight="1">
      <c r="A21" s="5" t="s">
        <v>1191</v>
      </c>
      <c r="K21" s="5" t="s">
        <v>1192</v>
      </c>
    </row>
    <row r="22" spans="1:14" ht="15.75" customHeight="1">
      <c r="A22" s="5" t="s">
        <v>1193</v>
      </c>
      <c r="K22" s="5" t="s">
        <v>1194</v>
      </c>
    </row>
    <row r="23" spans="1:14" ht="15.75" customHeight="1">
      <c r="A23" s="5" t="s">
        <v>1195</v>
      </c>
      <c r="K23" s="5" t="s">
        <v>1196</v>
      </c>
    </row>
    <row r="24" spans="1:14" ht="15.75" customHeight="1"/>
    <row r="25" spans="1:14" ht="15.75" customHeight="1"/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000"/>
  <sheetViews>
    <sheetView workbookViewId="0"/>
  </sheetViews>
  <sheetFormatPr defaultColWidth="14.44140625" defaultRowHeight="15" customHeight="1"/>
  <cols>
    <col min="1" max="1" width="10.109375" customWidth="1"/>
    <col min="2" max="26" width="8" customWidth="1"/>
  </cols>
  <sheetData>
    <row r="1" spans="1:7" ht="18.75" customHeight="1">
      <c r="A1" s="300" t="s">
        <v>1197</v>
      </c>
      <c r="B1" s="301"/>
      <c r="C1" s="301"/>
      <c r="D1" s="301"/>
      <c r="E1" s="301"/>
      <c r="F1" s="301"/>
      <c r="G1" s="14"/>
    </row>
    <row r="2" spans="1:7" ht="14.4">
      <c r="A2" s="303" t="s">
        <v>1198</v>
      </c>
      <c r="B2" s="301"/>
      <c r="C2" s="301"/>
      <c r="D2" s="301"/>
      <c r="E2" s="301"/>
      <c r="F2" s="301"/>
      <c r="G2" s="301"/>
    </row>
    <row r="4" spans="1:7" ht="64.5" customHeight="1">
      <c r="A4" s="269" t="s">
        <v>1199</v>
      </c>
      <c r="B4" s="269" t="s">
        <v>1134</v>
      </c>
      <c r="C4" s="269" t="s">
        <v>1200</v>
      </c>
    </row>
    <row r="5" spans="1:7" ht="14.4">
      <c r="A5" s="62" t="s">
        <v>1136</v>
      </c>
      <c r="B5" s="62">
        <v>1</v>
      </c>
      <c r="C5" s="63" t="str">
        <f>RIGHT(A5,B5)</f>
        <v>s</v>
      </c>
      <c r="D5" s="221" t="s">
        <v>1201</v>
      </c>
    </row>
    <row r="6" spans="1:7" ht="14.4">
      <c r="A6" s="62" t="s">
        <v>1136</v>
      </c>
      <c r="B6" s="62">
        <v>2</v>
      </c>
      <c r="C6" s="63" t="s">
        <v>516</v>
      </c>
      <c r="D6" s="221"/>
    </row>
    <row r="7" spans="1:7" ht="14.4">
      <c r="A7" s="62" t="s">
        <v>1136</v>
      </c>
      <c r="B7" s="62">
        <v>3</v>
      </c>
      <c r="C7" s="63" t="s">
        <v>516</v>
      </c>
      <c r="D7" s="221"/>
    </row>
    <row r="8" spans="1:7" ht="14.4">
      <c r="A8" s="62" t="s">
        <v>1138</v>
      </c>
      <c r="B8" s="62">
        <v>6</v>
      </c>
      <c r="C8" s="63" t="s">
        <v>516</v>
      </c>
      <c r="D8" s="221"/>
    </row>
    <row r="9" spans="1:7" ht="14.4">
      <c r="A9" s="62" t="s">
        <v>1139</v>
      </c>
      <c r="B9" s="62">
        <v>4</v>
      </c>
      <c r="C9" s="63" t="s">
        <v>516</v>
      </c>
      <c r="D9" s="221"/>
    </row>
    <row r="11" spans="1:7" ht="14.4">
      <c r="D11" s="70" t="s">
        <v>1202</v>
      </c>
    </row>
    <row r="12" spans="1:7" ht="14.4">
      <c r="A12" s="105" t="s">
        <v>1162</v>
      </c>
      <c r="B12" s="105" t="s">
        <v>1203</v>
      </c>
    </row>
    <row r="13" spans="1:7" ht="14.4">
      <c r="A13" s="273">
        <v>1</v>
      </c>
      <c r="B13" s="63" t="str">
        <f>ROMAN(A13)</f>
        <v>I</v>
      </c>
      <c r="C13" s="221" t="s">
        <v>1204</v>
      </c>
    </row>
    <row r="14" spans="1:7" ht="14.4">
      <c r="A14" s="273">
        <v>2</v>
      </c>
      <c r="B14" s="63" t="s">
        <v>516</v>
      </c>
      <c r="C14" s="221"/>
    </row>
    <row r="15" spans="1:7" ht="14.4">
      <c r="A15" s="273">
        <v>3</v>
      </c>
      <c r="B15" s="63" t="s">
        <v>516</v>
      </c>
      <c r="C15" s="221"/>
    </row>
    <row r="16" spans="1:7" ht="14.4">
      <c r="A16" s="273">
        <v>5</v>
      </c>
      <c r="B16" s="63" t="s">
        <v>516</v>
      </c>
      <c r="C16" s="221"/>
    </row>
    <row r="17" spans="1:4" ht="14.4">
      <c r="A17" s="273">
        <v>10</v>
      </c>
      <c r="B17" s="63" t="s">
        <v>516</v>
      </c>
      <c r="C17" s="221"/>
    </row>
    <row r="18" spans="1:4" ht="14.4">
      <c r="A18" s="273">
        <v>1998</v>
      </c>
      <c r="B18" s="63" t="s">
        <v>516</v>
      </c>
      <c r="C18" s="221"/>
    </row>
    <row r="19" spans="1:4" ht="14.4">
      <c r="A19" s="273">
        <v>1998</v>
      </c>
      <c r="B19" s="63" t="s">
        <v>516</v>
      </c>
      <c r="C19" s="221"/>
    </row>
    <row r="20" spans="1:4" ht="14.4">
      <c r="A20" s="273">
        <v>1998</v>
      </c>
      <c r="B20" s="63" t="s">
        <v>516</v>
      </c>
      <c r="C20" s="221"/>
    </row>
    <row r="21" spans="1:4" ht="15.75" customHeight="1">
      <c r="A21" s="273">
        <v>1998</v>
      </c>
      <c r="B21" s="63" t="s">
        <v>516</v>
      </c>
      <c r="C21" s="221"/>
    </row>
    <row r="22" spans="1:4" ht="15.75" customHeight="1">
      <c r="A22" s="273">
        <v>1998</v>
      </c>
      <c r="B22" s="63" t="s">
        <v>516</v>
      </c>
      <c r="C22" s="221"/>
    </row>
    <row r="23" spans="1:4" ht="15.75" customHeight="1">
      <c r="A23" s="273">
        <v>1998</v>
      </c>
      <c r="B23" s="63" t="s">
        <v>516</v>
      </c>
      <c r="C23" s="221"/>
    </row>
    <row r="24" spans="1:4" ht="15.75" customHeight="1">
      <c r="A24" s="273">
        <v>1998</v>
      </c>
      <c r="B24" s="63" t="s">
        <v>516</v>
      </c>
      <c r="C24" s="221"/>
    </row>
    <row r="25" spans="1:4" ht="15.75" customHeight="1">
      <c r="A25" s="273">
        <v>1998</v>
      </c>
      <c r="B25" s="63" t="s">
        <v>516</v>
      </c>
      <c r="C25" s="221"/>
    </row>
    <row r="26" spans="1:4" ht="15.75" customHeight="1"/>
    <row r="27" spans="1:4" ht="15.75" customHeight="1">
      <c r="D27" s="70" t="s">
        <v>1205</v>
      </c>
    </row>
    <row r="28" spans="1:4" ht="15.75" customHeight="1">
      <c r="A28" s="105" t="s">
        <v>320</v>
      </c>
      <c r="B28" s="105" t="s">
        <v>425</v>
      </c>
      <c r="C28" s="105" t="s">
        <v>426</v>
      </c>
      <c r="D28" s="105" t="s">
        <v>314</v>
      </c>
    </row>
    <row r="29" spans="1:4" ht="15.75" customHeight="1">
      <c r="A29" s="105" t="s">
        <v>427</v>
      </c>
      <c r="B29" s="264">
        <v>5000</v>
      </c>
      <c r="C29" s="264">
        <v>6000</v>
      </c>
      <c r="D29" s="264">
        <v>4500</v>
      </c>
    </row>
    <row r="30" spans="1:4" ht="15.75" customHeight="1">
      <c r="A30" s="105" t="s">
        <v>428</v>
      </c>
      <c r="B30" s="264">
        <v>5800</v>
      </c>
      <c r="C30" s="264">
        <v>7000</v>
      </c>
      <c r="D30" s="264">
        <v>3000</v>
      </c>
    </row>
    <row r="31" spans="1:4" ht="15.75" customHeight="1">
      <c r="A31" s="105" t="s">
        <v>429</v>
      </c>
      <c r="B31" s="264">
        <v>3500</v>
      </c>
      <c r="C31" s="264">
        <v>2000</v>
      </c>
      <c r="D31" s="264">
        <v>10000</v>
      </c>
    </row>
    <row r="32" spans="1:4" ht="15.75" customHeight="1">
      <c r="A32" s="105" t="s">
        <v>430</v>
      </c>
      <c r="B32" s="264">
        <v>12000</v>
      </c>
      <c r="C32" s="264">
        <v>4000</v>
      </c>
      <c r="D32" s="264">
        <v>6000</v>
      </c>
    </row>
    <row r="33" spans="1:7" ht="15.75" customHeight="1"/>
    <row r="34" spans="1:7" ht="15.75" customHeight="1">
      <c r="A34" s="265"/>
      <c r="B34" s="266" t="s">
        <v>1206</v>
      </c>
      <c r="C34" s="267">
        <f>SMALL(B29:D32,1)</f>
        <v>2000</v>
      </c>
      <c r="D34" s="221" t="s">
        <v>1207</v>
      </c>
      <c r="G34" s="5">
        <f>SMALL(C34:C36,3)</f>
        <v>3500</v>
      </c>
    </row>
    <row r="35" spans="1:7" ht="15.75" customHeight="1">
      <c r="A35" s="265"/>
      <c r="B35" s="266" t="s">
        <v>1208</v>
      </c>
      <c r="C35" s="267">
        <f>SMALL(B29:D32,2)</f>
        <v>3000</v>
      </c>
      <c r="D35" s="221" t="s">
        <v>1209</v>
      </c>
    </row>
    <row r="36" spans="1:7" ht="15.75" customHeight="1">
      <c r="A36" s="265"/>
      <c r="B36" s="266" t="s">
        <v>1210</v>
      </c>
      <c r="C36" s="267">
        <f>SMALL(B29:D32,3)</f>
        <v>3500</v>
      </c>
      <c r="D36" s="221" t="s">
        <v>1211</v>
      </c>
    </row>
    <row r="37" spans="1:7" ht="15.75" customHeight="1">
      <c r="F37" s="5">
        <f>SMALL(B29:D32,1)</f>
        <v>2000</v>
      </c>
    </row>
    <row r="38" spans="1:7" ht="15.75" customHeight="1">
      <c r="F38" s="5">
        <f>SMALL(B29:D32,2)</f>
        <v>3000</v>
      </c>
    </row>
    <row r="39" spans="1:7" ht="15.75" customHeight="1">
      <c r="F39" s="5">
        <f>SMALL(B29:D32,3)</f>
        <v>3500</v>
      </c>
    </row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G2"/>
  </mergeCell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1000"/>
  <sheetViews>
    <sheetView workbookViewId="0"/>
  </sheetViews>
  <sheetFormatPr defaultColWidth="14.44140625" defaultRowHeight="15" customHeight="1"/>
  <cols>
    <col min="1" max="1" width="15.109375" customWidth="1"/>
    <col min="2" max="6" width="8" customWidth="1"/>
    <col min="7" max="7" width="20.5546875" customWidth="1"/>
    <col min="8" max="8" width="8" customWidth="1"/>
    <col min="9" max="9" width="10" customWidth="1"/>
    <col min="10" max="10" width="13.33203125" customWidth="1"/>
    <col min="11" max="26" width="8" customWidth="1"/>
  </cols>
  <sheetData>
    <row r="1" spans="1:14" ht="18.75" customHeight="1">
      <c r="A1" s="300" t="s">
        <v>1212</v>
      </c>
      <c r="B1" s="301"/>
      <c r="C1" s="301"/>
      <c r="D1" s="301"/>
      <c r="E1" s="301"/>
      <c r="F1" s="301"/>
      <c r="G1" s="301"/>
      <c r="H1" s="301"/>
      <c r="I1" s="301"/>
      <c r="J1" s="301"/>
      <c r="K1" s="14"/>
    </row>
    <row r="3" spans="1:14" ht="14.4">
      <c r="L3" s="5" t="s">
        <v>1213</v>
      </c>
    </row>
    <row r="4" spans="1:14" ht="14.4">
      <c r="A4" s="111" t="s">
        <v>126</v>
      </c>
      <c r="B4" s="112" t="s">
        <v>127</v>
      </c>
      <c r="C4" s="112" t="s">
        <v>128</v>
      </c>
      <c r="D4" s="112" t="s">
        <v>129</v>
      </c>
      <c r="E4" s="112" t="s">
        <v>130</v>
      </c>
      <c r="F4" s="112" t="s">
        <v>131</v>
      </c>
      <c r="G4" s="112" t="s">
        <v>132</v>
      </c>
      <c r="H4" s="112" t="s">
        <v>133</v>
      </c>
      <c r="I4" s="112" t="s">
        <v>134</v>
      </c>
      <c r="J4" s="113" t="s">
        <v>834</v>
      </c>
      <c r="L4" s="5">
        <f>RANK(E5,$E$5:$E$15,0)</f>
        <v>7</v>
      </c>
      <c r="N4" s="5" t="s">
        <v>1217</v>
      </c>
    </row>
    <row r="5" spans="1:14" ht="14.4">
      <c r="A5" s="25" t="s">
        <v>136</v>
      </c>
      <c r="B5" s="26">
        <v>2000</v>
      </c>
      <c r="C5" s="26">
        <v>1500</v>
      </c>
      <c r="D5" s="26">
        <v>300</v>
      </c>
      <c r="E5" s="26">
        <v>1400</v>
      </c>
      <c r="F5" s="26">
        <v>1000</v>
      </c>
      <c r="G5" s="26">
        <v>1400</v>
      </c>
      <c r="H5" s="26">
        <f t="shared" ref="H5:H15" si="0">SUM(B5:G5)</f>
        <v>7600</v>
      </c>
      <c r="I5" s="26">
        <v>10000</v>
      </c>
      <c r="J5" s="34" t="str">
        <f t="shared" ref="J5:J15" si="1">IF(H5&gt;I5,"ACHIEVED","NOT ACHIVED")</f>
        <v>NOT ACHIVED</v>
      </c>
      <c r="L5" s="5">
        <v>7</v>
      </c>
    </row>
    <row r="6" spans="1:14" ht="14.4">
      <c r="A6" s="25" t="s">
        <v>114</v>
      </c>
      <c r="B6" s="26">
        <v>5000</v>
      </c>
      <c r="C6" s="26">
        <v>1200</v>
      </c>
      <c r="D6" s="26">
        <v>500</v>
      </c>
      <c r="E6" s="26">
        <v>1200</v>
      </c>
      <c r="F6" s="26">
        <v>1200</v>
      </c>
      <c r="G6" s="26">
        <v>2800</v>
      </c>
      <c r="H6" s="26">
        <f t="shared" si="0"/>
        <v>11900</v>
      </c>
      <c r="I6" s="26">
        <v>12000</v>
      </c>
      <c r="J6" s="34" t="str">
        <f t="shared" si="1"/>
        <v>NOT ACHIVED</v>
      </c>
      <c r="L6" s="5">
        <v>8</v>
      </c>
    </row>
    <row r="7" spans="1:14" ht="14.4">
      <c r="A7" s="25" t="s">
        <v>112</v>
      </c>
      <c r="B7" s="26">
        <v>3000</v>
      </c>
      <c r="C7" s="26">
        <v>800</v>
      </c>
      <c r="D7" s="26">
        <v>1200</v>
      </c>
      <c r="E7" s="26">
        <v>3000</v>
      </c>
      <c r="F7" s="26">
        <v>1500</v>
      </c>
      <c r="G7" s="26">
        <v>3500</v>
      </c>
      <c r="H7" s="26">
        <f t="shared" si="0"/>
        <v>13000</v>
      </c>
      <c r="I7" s="26">
        <v>18000</v>
      </c>
      <c r="J7" s="34" t="str">
        <f t="shared" si="1"/>
        <v>NOT ACHIVED</v>
      </c>
      <c r="L7" s="5">
        <v>3</v>
      </c>
      <c r="N7" s="5">
        <f>LARGE(F5:F15,2)</f>
        <v>2500</v>
      </c>
    </row>
    <row r="8" spans="1:14" ht="14.4">
      <c r="A8" s="25" t="s">
        <v>22</v>
      </c>
      <c r="B8" s="26">
        <v>1000</v>
      </c>
      <c r="C8" s="26">
        <v>900</v>
      </c>
      <c r="D8" s="26">
        <v>1800</v>
      </c>
      <c r="E8" s="26">
        <v>5000</v>
      </c>
      <c r="F8" s="26">
        <v>1400</v>
      </c>
      <c r="G8" s="26">
        <v>1200</v>
      </c>
      <c r="H8" s="26">
        <f t="shared" si="0"/>
        <v>11300</v>
      </c>
      <c r="I8" s="26">
        <v>10000</v>
      </c>
      <c r="J8" s="34" t="str">
        <f t="shared" si="1"/>
        <v>ACHIEVED</v>
      </c>
      <c r="L8" s="5">
        <v>2</v>
      </c>
    </row>
    <row r="9" spans="1:14" ht="14.4">
      <c r="A9" s="25" t="s">
        <v>17</v>
      </c>
      <c r="B9" s="26">
        <v>500</v>
      </c>
      <c r="C9" s="26">
        <v>1000</v>
      </c>
      <c r="D9" s="26">
        <v>2300</v>
      </c>
      <c r="E9" s="26">
        <v>8000</v>
      </c>
      <c r="F9" s="26">
        <v>1700</v>
      </c>
      <c r="G9" s="26">
        <v>1400</v>
      </c>
      <c r="H9" s="26">
        <f t="shared" si="0"/>
        <v>14900</v>
      </c>
      <c r="I9" s="26">
        <v>12000</v>
      </c>
      <c r="J9" s="34" t="str">
        <f t="shared" si="1"/>
        <v>ACHIEVED</v>
      </c>
      <c r="L9" s="5">
        <v>1</v>
      </c>
    </row>
    <row r="10" spans="1:14" ht="14.4">
      <c r="A10" s="25" t="s">
        <v>13</v>
      </c>
      <c r="B10" s="26">
        <v>800</v>
      </c>
      <c r="C10" s="26">
        <v>500</v>
      </c>
      <c r="D10" s="26">
        <v>2400</v>
      </c>
      <c r="E10" s="26">
        <v>1900</v>
      </c>
      <c r="F10" s="26">
        <v>1800</v>
      </c>
      <c r="G10" s="26">
        <v>1800</v>
      </c>
      <c r="H10" s="26">
        <f t="shared" si="0"/>
        <v>9200</v>
      </c>
      <c r="I10" s="26">
        <v>10000</v>
      </c>
      <c r="J10" s="34" t="str">
        <f t="shared" si="1"/>
        <v>NOT ACHIVED</v>
      </c>
      <c r="L10" s="5">
        <v>4</v>
      </c>
    </row>
    <row r="11" spans="1:14" ht="14.4">
      <c r="A11" s="25" t="s">
        <v>137</v>
      </c>
      <c r="B11" s="26">
        <v>1200</v>
      </c>
      <c r="C11" s="26">
        <v>1400</v>
      </c>
      <c r="D11" s="26">
        <v>1500</v>
      </c>
      <c r="E11" s="26">
        <v>700</v>
      </c>
      <c r="F11" s="26">
        <v>2500</v>
      </c>
      <c r="G11" s="26">
        <v>7000</v>
      </c>
      <c r="H11" s="26">
        <f t="shared" si="0"/>
        <v>14300</v>
      </c>
      <c r="I11" s="26">
        <v>12000</v>
      </c>
      <c r="J11" s="34" t="str">
        <f t="shared" si="1"/>
        <v>ACHIEVED</v>
      </c>
      <c r="L11" s="5">
        <v>11</v>
      </c>
    </row>
    <row r="12" spans="1:14" ht="14.4">
      <c r="A12" s="25" t="s">
        <v>138</v>
      </c>
      <c r="B12" s="26">
        <v>1500</v>
      </c>
      <c r="C12" s="26">
        <v>1800</v>
      </c>
      <c r="D12" s="26">
        <v>1800</v>
      </c>
      <c r="E12" s="26">
        <v>1800</v>
      </c>
      <c r="F12" s="26">
        <v>300</v>
      </c>
      <c r="G12" s="26">
        <v>1500</v>
      </c>
      <c r="H12" s="26">
        <f t="shared" si="0"/>
        <v>8700</v>
      </c>
      <c r="I12" s="26">
        <v>10000</v>
      </c>
      <c r="J12" s="34" t="str">
        <f t="shared" si="1"/>
        <v>NOT ACHIVED</v>
      </c>
      <c r="L12" s="5">
        <v>5</v>
      </c>
    </row>
    <row r="13" spans="1:14" ht="14.4">
      <c r="A13" s="25" t="s">
        <v>139</v>
      </c>
      <c r="B13" s="26">
        <v>1800</v>
      </c>
      <c r="C13" s="26">
        <v>2500</v>
      </c>
      <c r="D13" s="26">
        <v>1700</v>
      </c>
      <c r="E13" s="26">
        <v>1500</v>
      </c>
      <c r="F13" s="26">
        <v>2800</v>
      </c>
      <c r="G13" s="26">
        <v>1800</v>
      </c>
      <c r="H13" s="26">
        <f t="shared" si="0"/>
        <v>12100</v>
      </c>
      <c r="I13" s="26">
        <v>12000</v>
      </c>
      <c r="J13" s="34" t="str">
        <f t="shared" si="1"/>
        <v>ACHIEVED</v>
      </c>
      <c r="L13" s="5">
        <v>6</v>
      </c>
    </row>
    <row r="14" spans="1:14" ht="14.4">
      <c r="A14" s="25" t="s">
        <v>140</v>
      </c>
      <c r="B14" s="26">
        <v>200</v>
      </c>
      <c r="C14" s="26">
        <v>3000</v>
      </c>
      <c r="D14" s="26">
        <v>1900</v>
      </c>
      <c r="E14" s="26">
        <v>1200</v>
      </c>
      <c r="F14" s="26">
        <v>1500</v>
      </c>
      <c r="G14" s="26">
        <v>3000</v>
      </c>
      <c r="H14" s="26">
        <f t="shared" si="0"/>
        <v>10800</v>
      </c>
      <c r="I14" s="26">
        <v>10000</v>
      </c>
      <c r="J14" s="34" t="str">
        <f t="shared" si="1"/>
        <v>ACHIEVED</v>
      </c>
      <c r="L14" s="5">
        <v>8</v>
      </c>
    </row>
    <row r="15" spans="1:14" ht="14.4">
      <c r="A15" s="28" t="s">
        <v>141</v>
      </c>
      <c r="B15" s="29">
        <v>1600</v>
      </c>
      <c r="C15" s="29">
        <v>1200</v>
      </c>
      <c r="D15" s="29">
        <v>2000</v>
      </c>
      <c r="E15" s="29">
        <v>800</v>
      </c>
      <c r="F15" s="29">
        <v>1700</v>
      </c>
      <c r="G15" s="29">
        <v>800</v>
      </c>
      <c r="H15" s="29">
        <f t="shared" si="0"/>
        <v>8100</v>
      </c>
      <c r="I15" s="29">
        <v>10000</v>
      </c>
      <c r="J15" s="109" t="str">
        <f t="shared" si="1"/>
        <v>NOT ACHIVED</v>
      </c>
      <c r="L15" s="5">
        <v>10</v>
      </c>
    </row>
    <row r="16" spans="1:14" ht="14.4">
      <c r="L16" s="5" t="e">
        <f t="shared" ref="L16:L17" si="2">RANK(E17,$E$5:$E$15,0)</f>
        <v>#N/A</v>
      </c>
    </row>
    <row r="17" spans="1:12" ht="14.4">
      <c r="A17" s="5" t="s">
        <v>142</v>
      </c>
      <c r="H17" s="56" t="s">
        <v>1187</v>
      </c>
      <c r="I17" s="56"/>
      <c r="L17" s="5" t="e">
        <f t="shared" si="2"/>
        <v>#N/A</v>
      </c>
    </row>
    <row r="18" spans="1:12" ht="14.4">
      <c r="A18" s="5" t="s">
        <v>146</v>
      </c>
      <c r="H18" s="56" t="s">
        <v>836</v>
      </c>
      <c r="I18" s="56"/>
      <c r="K18" s="5" t="str">
        <f>VLOOKUP(A11,A4:J15,10,)</f>
        <v>ACHIEVED</v>
      </c>
    </row>
    <row r="19" spans="1:12" ht="14.4">
      <c r="A19" s="5" t="s">
        <v>147</v>
      </c>
      <c r="H19" s="56" t="s">
        <v>1189</v>
      </c>
      <c r="I19" s="56"/>
    </row>
    <row r="20" spans="1:12" ht="14.4">
      <c r="A20" s="5" t="s">
        <v>148</v>
      </c>
      <c r="H20" s="56" t="s">
        <v>1190</v>
      </c>
      <c r="I20" s="56"/>
    </row>
    <row r="21" spans="1:12" ht="15.75" customHeight="1">
      <c r="A21" s="5" t="s">
        <v>1191</v>
      </c>
      <c r="H21" s="56" t="s">
        <v>1189</v>
      </c>
      <c r="I21" s="56"/>
    </row>
    <row r="22" spans="1:12" ht="15.75" customHeight="1">
      <c r="A22" s="5" t="s">
        <v>1193</v>
      </c>
      <c r="E22" s="5">
        <f>COUNTIF(B4:B15,"&gt;2000")</f>
        <v>2</v>
      </c>
      <c r="H22" s="56" t="s">
        <v>1214</v>
      </c>
      <c r="I22" s="56"/>
    </row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1000"/>
  <sheetViews>
    <sheetView workbookViewId="0"/>
  </sheetViews>
  <sheetFormatPr defaultColWidth="14.44140625" defaultRowHeight="15" customHeight="1"/>
  <cols>
    <col min="1" max="1" width="10.44140625" customWidth="1"/>
    <col min="2" max="2" width="14.109375" customWidth="1"/>
    <col min="3" max="4" width="8" customWidth="1"/>
    <col min="5" max="5" width="10.88671875" customWidth="1"/>
    <col min="6" max="26" width="8" customWidth="1"/>
  </cols>
  <sheetData>
    <row r="1" spans="1:12" ht="18.75" customHeight="1">
      <c r="A1" s="300" t="s">
        <v>1215</v>
      </c>
      <c r="B1" s="301"/>
      <c r="C1" s="301"/>
      <c r="D1" s="301"/>
      <c r="E1" s="301"/>
      <c r="F1" s="301"/>
      <c r="G1" s="14"/>
    </row>
    <row r="2" spans="1:12" ht="14.4">
      <c r="A2" s="303" t="s">
        <v>1216</v>
      </c>
      <c r="B2" s="301"/>
      <c r="C2" s="301"/>
      <c r="D2" s="301"/>
      <c r="E2" s="301"/>
      <c r="F2" s="301"/>
      <c r="G2" s="301"/>
    </row>
    <row r="4" spans="1:12" ht="14.4">
      <c r="A4" s="26" t="s">
        <v>100</v>
      </c>
      <c r="B4" s="26" t="s">
        <v>170</v>
      </c>
      <c r="C4" s="26" t="s">
        <v>171</v>
      </c>
      <c r="D4" s="26" t="s">
        <v>172</v>
      </c>
      <c r="E4" s="26" t="s">
        <v>173</v>
      </c>
    </row>
    <row r="5" spans="1:12" ht="14.4">
      <c r="A5" s="26" t="s">
        <v>136</v>
      </c>
      <c r="B5" s="53">
        <v>29356</v>
      </c>
      <c r="C5" s="26">
        <f t="shared" ref="C5:C8" ca="1" si="0">DATEDIF(B5,TODAY(),"D")</f>
        <v>16724</v>
      </c>
      <c r="D5" s="26">
        <f t="shared" ref="D5:D15" ca="1" si="1">DATEDIF(C5,TODAY(),"ym")</f>
        <v>4</v>
      </c>
      <c r="E5" s="26">
        <f t="shared" ref="E5:E15" ca="1" si="2">DATEDIF(B5,TODAY(),"y")</f>
        <v>45</v>
      </c>
      <c r="G5" s="5" t="str">
        <f t="shared" ref="G5:G16" ca="1" si="3">IF(E5&gt;20,"Adult","Child")</f>
        <v>Adult</v>
      </c>
    </row>
    <row r="6" spans="1:12" ht="14.4">
      <c r="A6" s="26" t="s">
        <v>114</v>
      </c>
      <c r="B6" s="53">
        <v>29818</v>
      </c>
      <c r="C6" s="26">
        <f t="shared" ca="1" si="0"/>
        <v>16262</v>
      </c>
      <c r="D6" s="26">
        <f t="shared" ca="1" si="1"/>
        <v>7</v>
      </c>
      <c r="E6" s="6">
        <f t="shared" ca="1" si="2"/>
        <v>44</v>
      </c>
      <c r="G6" s="5" t="str">
        <f t="shared" ca="1" si="3"/>
        <v>Adult</v>
      </c>
      <c r="J6" s="5">
        <f ca="1">DATEDIF(B5,TODAY(),"d")</f>
        <v>16724</v>
      </c>
    </row>
    <row r="7" spans="1:12" ht="14.4">
      <c r="A7" s="26" t="s">
        <v>112</v>
      </c>
      <c r="B7" s="53">
        <v>37909</v>
      </c>
      <c r="C7" s="26">
        <f t="shared" ca="1" si="0"/>
        <v>8171</v>
      </c>
      <c r="D7" s="26">
        <f t="shared" ca="1" si="1"/>
        <v>9</v>
      </c>
      <c r="E7" s="6">
        <f t="shared" ca="1" si="2"/>
        <v>22</v>
      </c>
      <c r="G7" s="5" t="str">
        <f t="shared" ca="1" si="3"/>
        <v>Adult</v>
      </c>
    </row>
    <row r="8" spans="1:12" ht="14.4">
      <c r="A8" s="26" t="s">
        <v>22</v>
      </c>
      <c r="B8" s="53">
        <v>33018</v>
      </c>
      <c r="C8" s="26">
        <f t="shared" ca="1" si="0"/>
        <v>13062</v>
      </c>
      <c r="D8" s="26">
        <f t="shared" ca="1" si="1"/>
        <v>4</v>
      </c>
      <c r="E8" s="6">
        <f t="shared" ca="1" si="2"/>
        <v>35</v>
      </c>
      <c r="G8" s="5" t="str">
        <f t="shared" ca="1" si="3"/>
        <v>Adult</v>
      </c>
    </row>
    <row r="9" spans="1:12" ht="14.4">
      <c r="A9" s="26" t="s">
        <v>17</v>
      </c>
      <c r="B9" s="53">
        <v>33840</v>
      </c>
      <c r="C9" s="6">
        <f ca="1">DATEDIF(B9,TODAY(),"d")</f>
        <v>12240</v>
      </c>
      <c r="D9" s="26">
        <f t="shared" ca="1" si="1"/>
        <v>7</v>
      </c>
      <c r="E9" s="6">
        <f t="shared" ca="1" si="2"/>
        <v>33</v>
      </c>
      <c r="G9" s="5" t="str">
        <f t="shared" ca="1" si="3"/>
        <v>Adult</v>
      </c>
      <c r="K9" s="5">
        <f ca="1">DATEDIF(B5,TODAY(),"d")</f>
        <v>16724</v>
      </c>
    </row>
    <row r="10" spans="1:12" ht="14.4">
      <c r="A10" s="26" t="s">
        <v>13</v>
      </c>
      <c r="B10" s="53">
        <v>36030</v>
      </c>
      <c r="C10" s="6">
        <f ca="1">DATEDIF(B10,TODAY(),"D")</f>
        <v>10050</v>
      </c>
      <c r="D10" s="26">
        <f t="shared" ca="1" si="1"/>
        <v>7</v>
      </c>
      <c r="E10" s="6">
        <f t="shared" ca="1" si="2"/>
        <v>27</v>
      </c>
      <c r="G10" s="5" t="str">
        <f t="shared" ca="1" si="3"/>
        <v>Adult</v>
      </c>
    </row>
    <row r="11" spans="1:12" ht="14.4">
      <c r="A11" s="26" t="s">
        <v>137</v>
      </c>
      <c r="B11" s="53">
        <v>29353</v>
      </c>
      <c r="C11" s="6">
        <f t="shared" ref="C11:C12" ca="1" si="4">DATEDIF(B11,TODAY(),"d")</f>
        <v>16727</v>
      </c>
      <c r="D11" s="26">
        <f t="shared" ca="1" si="1"/>
        <v>4</v>
      </c>
      <c r="E11" s="6">
        <f t="shared" ca="1" si="2"/>
        <v>45</v>
      </c>
      <c r="G11" s="5" t="str">
        <f t="shared" ca="1" si="3"/>
        <v>Adult</v>
      </c>
    </row>
    <row r="12" spans="1:12" ht="14.4">
      <c r="A12" s="26" t="s">
        <v>138</v>
      </c>
      <c r="B12" s="53">
        <v>38429</v>
      </c>
      <c r="C12" s="6">
        <f t="shared" ca="1" si="4"/>
        <v>7651</v>
      </c>
      <c r="D12" s="26">
        <f t="shared" ca="1" si="1"/>
        <v>2</v>
      </c>
      <c r="E12" s="6">
        <f t="shared" ca="1" si="2"/>
        <v>20</v>
      </c>
      <c r="G12" s="5" t="str">
        <f t="shared" ca="1" si="3"/>
        <v>Child</v>
      </c>
    </row>
    <row r="13" spans="1:12" ht="14.4">
      <c r="A13" s="26" t="s">
        <v>139</v>
      </c>
      <c r="B13" s="53">
        <v>39309</v>
      </c>
      <c r="C13" s="6">
        <f t="shared" ref="C13:C15" ca="1" si="5">DATEDIF(B13,TODAY(),"D")</f>
        <v>6771</v>
      </c>
      <c r="D13" s="26">
        <f t="shared" ca="1" si="1"/>
        <v>7</v>
      </c>
      <c r="E13" s="6">
        <f t="shared" ca="1" si="2"/>
        <v>18</v>
      </c>
      <c r="G13" s="5" t="str">
        <f t="shared" ca="1" si="3"/>
        <v>Child</v>
      </c>
    </row>
    <row r="14" spans="1:12" ht="14.4">
      <c r="A14" s="26" t="s">
        <v>140</v>
      </c>
      <c r="B14" s="53">
        <v>40323</v>
      </c>
      <c r="C14" s="6">
        <f t="shared" ca="1" si="5"/>
        <v>5757</v>
      </c>
      <c r="D14" s="26">
        <f t="shared" ca="1" si="1"/>
        <v>4</v>
      </c>
      <c r="E14" s="6">
        <f t="shared" ca="1" si="2"/>
        <v>15</v>
      </c>
      <c r="G14" s="5" t="str">
        <f t="shared" ca="1" si="3"/>
        <v>Child</v>
      </c>
    </row>
    <row r="15" spans="1:12" ht="14.4">
      <c r="A15" s="26" t="s">
        <v>141</v>
      </c>
      <c r="B15" s="53">
        <v>34206</v>
      </c>
      <c r="C15" s="6">
        <f t="shared" ca="1" si="5"/>
        <v>11874</v>
      </c>
      <c r="D15" s="26">
        <f t="shared" ca="1" si="1"/>
        <v>7</v>
      </c>
      <c r="E15" s="6">
        <f t="shared" ca="1" si="2"/>
        <v>32</v>
      </c>
      <c r="G15" s="5" t="str">
        <f t="shared" ca="1" si="3"/>
        <v>Adult</v>
      </c>
      <c r="L15" s="5" t="e">
        <f>date</f>
        <v>#NAME?</v>
      </c>
    </row>
    <row r="16" spans="1:12" ht="14.4">
      <c r="E16" s="6"/>
      <c r="G16" s="5" t="str">
        <f t="shared" si="3"/>
        <v>Child</v>
      </c>
    </row>
    <row r="17" spans="1:11" ht="14.4">
      <c r="A17" s="5" t="s">
        <v>175</v>
      </c>
      <c r="D17" s="5">
        <f>COUNTA(A5:A15)</f>
        <v>11</v>
      </c>
    </row>
    <row r="18" spans="1:11" ht="14.4">
      <c r="A18" s="5" t="s">
        <v>176</v>
      </c>
      <c r="F18" s="5">
        <f ca="1">VLOOKUP(A14,A4:E15,5)</f>
        <v>15</v>
      </c>
      <c r="G18" s="5">
        <f ca="1">VLOOKUP(A14,A4:E15,5,0)</f>
        <v>15</v>
      </c>
    </row>
    <row r="19" spans="1:11" ht="14.4">
      <c r="A19" s="5" t="s">
        <v>177</v>
      </c>
      <c r="H19" s="5">
        <f ca="1">COUNTIF(E5:E15,"&gt;20")</f>
        <v>8</v>
      </c>
      <c r="I19" s="5">
        <f ca="1">COUNTIF(E4:E15,"&gt;20")</f>
        <v>8</v>
      </c>
      <c r="K19" s="5">
        <f ca="1">COUNTIF(E5:E15,"&gt;20")</f>
        <v>8</v>
      </c>
    </row>
    <row r="20" spans="1:11" ht="14.4">
      <c r="A20" s="5" t="s">
        <v>178</v>
      </c>
      <c r="I20" s="5">
        <f>COUNT(\)</f>
        <v>0</v>
      </c>
    </row>
    <row r="21" spans="1:11" ht="15.75" customHeight="1">
      <c r="A21" s="5" t="s">
        <v>179</v>
      </c>
      <c r="I21" s="5">
        <f ca="1">COUNTIF(E5:E15,"&gt;25")</f>
        <v>7</v>
      </c>
      <c r="K21" s="5">
        <f ca="1">COUNTIF(E5:E15,"&gt;=25")</f>
        <v>7</v>
      </c>
    </row>
    <row r="22" spans="1:11" ht="15.75" customHeight="1"/>
    <row r="23" spans="1:11" ht="15.75" customHeight="1">
      <c r="E23" s="5">
        <f ca="1">COUNTIF(E5:E15,"&gt;25")</f>
        <v>7</v>
      </c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G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Assignment1</vt:lpstr>
      <vt:lpstr>Assignment2</vt:lpstr>
      <vt:lpstr>Assignment 3</vt:lpstr>
      <vt:lpstr>Assignment4</vt:lpstr>
      <vt:lpstr>Assignment5</vt:lpstr>
      <vt:lpstr>Assignment6</vt:lpstr>
      <vt:lpstr>Assignment7</vt:lpstr>
      <vt:lpstr>Assignment8</vt:lpstr>
      <vt:lpstr>Assignment9</vt:lpstr>
      <vt:lpstr>Assignment10</vt:lpstr>
      <vt:lpstr>Assignment11</vt:lpstr>
      <vt:lpstr>Assignment12</vt:lpstr>
      <vt:lpstr>Sheet1</vt:lpstr>
      <vt:lpstr>Assignment13</vt:lpstr>
      <vt:lpstr>Sheet2</vt:lpstr>
      <vt:lpstr>Assignment14</vt:lpstr>
      <vt:lpstr>Assignment15</vt:lpstr>
      <vt:lpstr>Assignment16</vt:lpstr>
      <vt:lpstr>Assignment17</vt:lpstr>
      <vt:lpstr>Assignment18</vt:lpstr>
      <vt:lpstr>Assignment19</vt:lpstr>
      <vt:lpstr>Assignment20</vt:lpstr>
      <vt:lpstr>Assignment21</vt:lpstr>
      <vt:lpstr>Assignment22</vt:lpstr>
      <vt:lpstr>Assignment23</vt:lpstr>
      <vt:lpstr>Assignment24</vt:lpstr>
      <vt:lpstr>Assignment25</vt:lpstr>
      <vt:lpstr>Assignment26</vt:lpstr>
      <vt:lpstr>Assignment27</vt:lpstr>
      <vt:lpstr>Assignment28</vt:lpstr>
      <vt:lpstr>Assignment29</vt:lpstr>
      <vt:lpstr>Assignment30</vt:lpstr>
      <vt:lpstr>Assignment31</vt:lpstr>
      <vt:lpstr>Assignment32</vt:lpstr>
      <vt:lpstr>MERGE</vt:lpstr>
      <vt:lpstr>Assignment34</vt:lpstr>
      <vt:lpstr>Assignment35</vt:lpstr>
      <vt:lpstr>Assignment36</vt:lpstr>
      <vt:lpstr>Assignment37</vt:lpstr>
      <vt:lpstr>Assignment38</vt:lpstr>
      <vt:lpstr>Assignment39</vt:lpstr>
      <vt:lpstr>Assignment40</vt:lpstr>
      <vt:lpstr>Assignment41</vt:lpstr>
      <vt:lpstr>Assignment42</vt:lpstr>
      <vt:lpstr>Assignment43</vt:lpstr>
      <vt:lpstr>Assignment44</vt:lpstr>
      <vt:lpstr>Assignment45</vt:lpstr>
      <vt:lpstr>Assignment46</vt:lpstr>
      <vt:lpstr>Assignment48</vt:lpstr>
      <vt:lpstr>Assignment47</vt:lpstr>
      <vt:lpstr>Assignment49</vt:lpstr>
      <vt:lpstr>Assignment50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Rohit bora</cp:lastModifiedBy>
  <dcterms:created xsi:type="dcterms:W3CDTF">2021-04-20T11:47:33Z</dcterms:created>
  <dcterms:modified xsi:type="dcterms:W3CDTF">2026-02-27T07:50:04Z</dcterms:modified>
</cp:coreProperties>
</file>