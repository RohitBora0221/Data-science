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rohti\OneDrive\Desktop\"/>
    </mc:Choice>
  </mc:AlternateContent>
  <xr:revisionPtr revIDLastSave="0" documentId="13_ncr:9_{B05602E4-69BB-4860-9945-806F6A4CA589}" xr6:coauthVersionLast="47" xr6:coauthVersionMax="47" xr10:uidLastSave="{00000000-0000-0000-0000-000000000000}"/>
  <bookViews>
    <workbookView xWindow="-108" yWindow="-108" windowWidth="23256" windowHeight="12456" activeTab="1" xr2:uid="{5421017E-624A-457F-8D1C-0F70982618F9}"/>
  </bookViews>
  <sheets>
    <sheet name="Sheet1" sheetId="2" r:id="rId1"/>
    <sheet name="Sheet2" sheetId="3" r:id="rId2"/>
    <sheet name="online_shopping_data (1)" sheetId="1" r:id="rId3"/>
  </sheets>
  <definedNames>
    <definedName name="Slicer_Category">#N/A</definedName>
    <definedName name="Slicer_City">#N/A</definedName>
    <definedName name="Slicer_Price">#N/A</definedName>
  </definedNames>
  <calcPr calcId="0"/>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C7" i="2"/>
  <c r="B7" i="2"/>
  <c r="A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<sst xmlns="http://schemas.openxmlformats.org/spreadsheetml/2006/main" count="1568" uniqueCount="348">
  <si>
    <t>Order_ID</t>
  </si>
  <si>
    <t>Date</t>
  </si>
  <si>
    <t>Customer_Name</t>
  </si>
  <si>
    <t>City</t>
  </si>
  <si>
    <t>Product</t>
  </si>
  <si>
    <t>Category</t>
  </si>
  <si>
    <t>Quantity</t>
  </si>
  <si>
    <t>Price</t>
  </si>
  <si>
    <t>Total_Amount</t>
  </si>
  <si>
    <t>Payment_Mode</t>
  </si>
  <si>
    <t>Customer_1</t>
  </si>
  <si>
    <t>Pune</t>
  </si>
  <si>
    <t>Mobile</t>
  </si>
  <si>
    <t>Electronics</t>
  </si>
  <si>
    <t>UPI</t>
  </si>
  <si>
    <t>Customer_2</t>
  </si>
  <si>
    <t>Ahmedabad</t>
  </si>
  <si>
    <t>T-shirt</t>
  </si>
  <si>
    <t>Fashion</t>
  </si>
  <si>
    <t>COD</t>
  </si>
  <si>
    <t>Customer_3</t>
  </si>
  <si>
    <t>Chennai</t>
  </si>
  <si>
    <t>Customer_4</t>
  </si>
  <si>
    <t>Hyderabad</t>
  </si>
  <si>
    <t>Shoes</t>
  </si>
  <si>
    <t>Card</t>
  </si>
  <si>
    <t>Customer_5</t>
  </si>
  <si>
    <t>Bangalore</t>
  </si>
  <si>
    <t>Smartwatch</t>
  </si>
  <si>
    <t>Customer_6</t>
  </si>
  <si>
    <t>Mumbai</t>
  </si>
  <si>
    <t>Customer_7</t>
  </si>
  <si>
    <t>Customer_8</t>
  </si>
  <si>
    <t>Customer_9</t>
  </si>
  <si>
    <t>Jeans</t>
  </si>
  <si>
    <t>Customer_10</t>
  </si>
  <si>
    <t>Delhi</t>
  </si>
  <si>
    <t>Laptop</t>
  </si>
  <si>
    <t>Customer_11</t>
  </si>
  <si>
    <t>Kolkata</t>
  </si>
  <si>
    <t>Customer_12</t>
  </si>
  <si>
    <t>Customer_13</t>
  </si>
  <si>
    <t>Customer_14</t>
  </si>
  <si>
    <t>Headphones</t>
  </si>
  <si>
    <t>Customer_15</t>
  </si>
  <si>
    <t>Customer_16</t>
  </si>
  <si>
    <t>Lucknow</t>
  </si>
  <si>
    <t>Customer_17</t>
  </si>
  <si>
    <t>Customer_18</t>
  </si>
  <si>
    <t>Watch</t>
  </si>
  <si>
    <t>Accessories</t>
  </si>
  <si>
    <t>Customer_19</t>
  </si>
  <si>
    <t>Customer_20</t>
  </si>
  <si>
    <t>Customer_21</t>
  </si>
  <si>
    <t>Jaipur</t>
  </si>
  <si>
    <t>Bag</t>
  </si>
  <si>
    <t>Customer_22</t>
  </si>
  <si>
    <t>Customer_23</t>
  </si>
  <si>
    <t>Tablet</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</si>
  <si>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</si>
  <si>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</si>
  <si>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</si>
  <si>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</si>
  <si>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</si>
  <si>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</si>
  <si>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</si>
  <si>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</si>
  <si>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</si>
  <si>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</si>
  <si>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</si>
  <si>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</si>
  <si>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</si>
  <si>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</si>
  <si>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</si>
  <si>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</si>
  <si>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</si>
  <si>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</si>
  <si>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</si>
  <si>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</si>
  <si>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</si>
  <si>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</si>
  <si>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</si>
  <si>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</si>
  <si>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</si>
  <si>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</si>
  <si>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</si>
  <si>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</si>
  <si>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</si>
  <si>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</si>
  <si>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</si>
  <si>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</si>
  <si>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</si>
  <si>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</si>
  <si>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</si>
  <si>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</si>
  <si>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</si>
  <si>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</si>
  <si>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</si>
  <si>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</si>
  <si>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</si>
  <si>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</si>
  <si>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</si>
  <si>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</si>
  <si>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</si>
  <si>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</si>
  <si>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</si>
  <si>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</si>
  <si>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</si>
  <si>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</si>
  <si>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</si>
  <si>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</si>
  <si>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</si>
  <si>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</si>
  <si>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</si>
  <si>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</si>
  <si>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</si>
  <si>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</si>
  <si>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</si>
  <si>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</si>
  <si>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</si>
  <si>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</si>
  <si>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</si>
  <si>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</si>
  <si>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</si>
  <si>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</si>
  <si>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</si>
  <si>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</si>
  <si>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</si>
  <si>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</si>
  <si>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</si>
  <si>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</si>
  <si>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</si>
  <si>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</si>
  <si>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</si>
  <si>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</si>
  <si>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</si>
  <si>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</si>
  <si>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</si>
  <si>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</si>
  <si>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</si>
  <si>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</si>
  <si>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</si>
  <si>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</si>
  <si>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</si>
  <si>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</si>
  <si>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</si>
  <si>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</si>
  <si>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</si>
  <si>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</si>
  <si>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</si>
  <si>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</si>
  <si>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</si>
  <si>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</si>
  <si>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</si>
  <si>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</si>
  <si>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</si>
  <si>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</si>
  <si>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</si>
  <si>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</si>
  <si>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</si>
  <si>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</si>
  <si>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</si>
  <si>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</si>
  <si>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</si>
  <si>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</si>
  <si>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</si>
  <si>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</si>
  <si>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</si>
  <si>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</si>
  <si>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</si>
  <si>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</si>
  <si>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</si>
  <si>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</si>
  <si>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</si>
  <si>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</si>
  <si>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</si>
  <si>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</si>
  <si>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</si>
  <si>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</si>
  <si>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</si>
  <si>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</si>
  <si>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</si>
  <si>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</si>
  <si>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</si>
  <si>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</si>
  <si>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</si>
  <si>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</si>
  <si>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</si>
  <si>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</si>
  <si>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</si>
  <si>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</si>
  <si>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</si>
  <si>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</si>
  <si>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</si>
  <si>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</si>
  <si>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</si>
  <si>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</si>
  <si>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</si>
  <si>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</si>
  <si>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</si>
  <si>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</si>
  <si>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</si>
  <si>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</si>
  <si>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</si>
  <si>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</si>
  <si>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</si>
  <si>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</si>
  <si>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</si>
  <si>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</si>
  <si>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</si>
  <si>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</si>
  <si>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</si>
  <si>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</si>
  <si>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</si>
  <si>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</si>
  <si>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</si>
  <si>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</si>
  <si>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</si>
  <si>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</si>
  <si>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</si>
  <si>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</si>
  <si>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</si>
  <si>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</si>
  <si>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</si>
  <si>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</si>
  <si>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</si>
  <si>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</si>
  <si>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</si>
  <si>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</si>
  <si>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</si>
  <si>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</si>
  <si>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</si>
  <si>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</si>
  <si>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</si>
  <si>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</si>
  <si>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</si>
  <si>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</si>
  <si>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</si>
  <si>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</si>
  <si>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</si>
  <si>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</si>
  <si>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</si>
  <si>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</si>
  <si>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</si>
  <si>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</si>
  <si>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</si>
  <si>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</si>
  <si>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</si>
  <si>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</si>
  <si>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</si>
  <si>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</si>
  <si>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</si>
  <si>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</si>
  <si>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</si>
  <si>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</si>
  <si>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</si>
  <si>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</si>
  <si>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</si>
  <si>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</si>
  <si>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</si>
  <si>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</si>
  <si>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</si>
  <si>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</si>
  <si>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</si>
  <si>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</si>
  <si>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</si>
  <si>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</si>
  <si>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</si>
  <si>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</si>
  <si>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</si>
  <si>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</si>
  <si>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</si>
  <si>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</si>
  <si>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</si>
  <si>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</si>
  <si>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</si>
  <si>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</si>
  <si>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</si>
  <si>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</si>
  <si>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</si>
  <si>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</si>
  <si>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</si>
  <si>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</si>
  <si>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</si>
  <si>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</si>
  <si>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</si>
  <si>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</si>
  <si>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</si>
  <si>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</si>
  <si>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</si>
  <si>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</si>
  <si>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</si>
  <si>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</si>
  <si>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</si>
  <si>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</si>
  <si>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</si>
  <si>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</si>
  <si>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</si>
  <si>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</si>
  <si>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</si>
  <si>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</si>
  <si>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</si>
  <si>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</si>
  <si>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</si>
  <si>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</si>
  <si>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</si>
  <si>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</si>
  <si>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</si>
  <si>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</si>
  <si>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</si>
  <si>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</si>
  <si>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</si>
  <si>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</si>
  <si>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</si>
  <si>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</si>
  <si>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</si>
  <si>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</si>
  <si>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</si>
  <si>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</si>
  <si>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</si>
  <si>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</si>
  <si>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</si>
  <si>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</si>
  <si>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</si>
  <si>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</si>
  <si>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</si>
  <si>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</si>
  <si>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</si>
  <si>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</si>
  <si>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</si>
  <si>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</si>
  <si>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</si>
  <si>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</si>
  <si>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</si>
  <si>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</si>
  <si>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</si>
  <si>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Row Labels</t>
  </si>
  <si>
    <t>Grand Total</t>
  </si>
  <si>
    <t>Sum of Quantity</t>
  </si>
  <si>
    <t>Sum of Price</t>
  </si>
  <si>
    <t>Count of Price</t>
  </si>
  <si>
    <t>Sum of Total_Amount</t>
  </si>
  <si>
    <t>Count of Category</t>
  </si>
  <si>
    <t>Max of Price</t>
  </si>
  <si>
    <t>KPI</t>
  </si>
  <si>
    <t>SLICER</t>
  </si>
  <si>
    <t>formula</t>
  </si>
  <si>
    <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</si>
</sst>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sz val="14"/>
      <color theme="1"/>
      <name val="Aptos Narrow"/>
      <family val="2"/>
      <scheme val="minor"/>
    </font>
    <font>
      <b/>
      <sz val="3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8" fillId="33" borderId="0" xfId="0" applyFont="1" applyFill="1" applyAlignment="1">
      <alignment horizontal="center"/>
    </xf>
    <xf numFmtId="0" fontId="20" fillId="33" borderId="0" xfId="0" applyFont="1" applyFill="1" applyAlignment="1">
      <alignment horizont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PRICE</a:t>
            </a:r>
            <a:endParaRPr lang="en-IN"/>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32187A-CA35-4717-9931-F665EED29424}" type="CATEGORYNAME">
                  <a:rPr lang="en-US">
                    <a:solidFill>
                      <a:sysClr val="windowText" lastClr="000000"/>
                    </a:solidFill>
                  </a:rPr>
                  <a:pPr>
                    <a:defRPr/>
                  </a:pPr>
                  <a:t>[CATEGORY NAME]</a:t>
                </a:fld>
                <a:r>
                  <a:rPr lang="en-US" baseline="0"/>
                  <a:t>
</a:t>
                </a:r>
                <a:fld id="{61C62DD6-DF25-46CC-BB76-CF2FBF7CA35C}" type="PERCENTAGE">
                  <a:rPr lang="en-US" baseline="0"/>
                  <a:pPr>
                    <a:defRPr/>
                  </a:pPr>
                  <a:t>[PERCENTAGE]</a:t>
                </a:fld>
                <a:endParaRPr lang="en-US" baseline="0"/>
              </a:p>
            </c:rich>
          </c:tx>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Sheet1!$B$25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3F9-4F89-AB4C-9ADC6F0BA35A}"/>
              </c:ext>
            </c:extLst>
          </c:dPt>
          <c:dPt>
            <c:idx val="2"/>
            <c:bubble3D val="0"/>
            <c:spPr>
              <a:solidFill>
                <a:schemeClr val="accent3"/>
              </a:solidFill>
              <a:ln w="19050">
                <a:solidFill>
                  <a:schemeClr val="lt1"/>
                </a:solidFill>
              </a:ln>
              <a:effectLst/>
            </c:spPr>
          </c:dPt>
          <c:dLbls>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32187A-CA35-4717-9931-F665EED29424}" type="CATEGORYNAME">
                      <a:rPr lang="en-US">
                        <a:solidFill>
                          <a:sysClr val="windowText" lastClr="000000"/>
                        </a:solidFill>
                      </a:rPr>
                      <a:pPr>
                        <a:defRPr/>
                      </a:pPr>
                      <a:t>[CATEGORY NAME]</a:t>
                    </a:fld>
                    <a:r>
                      <a:rPr lang="en-US" baseline="0"/>
                      <a:t>
</a:t>
                    </a:r>
                    <a:fld id="{61C62DD6-DF25-46CC-BB76-CF2FBF7CA35C}" type="PERCENTAGE">
                      <a:rPr lang="en-US" baseline="0"/>
                      <a:pPr>
                        <a:defRPr/>
                      </a:pPr>
                      <a:t>[PERCENTAGE]</a:t>
                    </a:fld>
                    <a:endParaRPr lang="en-US" baseline="0"/>
                  </a:p>
                </c:rich>
              </c:tx>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93F9-4F89-AB4C-9ADC6F0BA35A}"/>
                </c:ext>
              </c:extLst>
            </c:dLbl>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Sheet1!$A$26:$A$29</c:f>
              <c:strCache>
                <c:ptCount val="3"/>
                <c:pt idx="0">
                  <c:v>Accessories</c:v>
                </c:pt>
                <c:pt idx="1">
                  <c:v>Electronics</c:v>
                </c:pt>
                <c:pt idx="2">
                  <c:v>Fashion</c:v>
                </c:pt>
              </c:strCache>
            </c:strRef>
          </c:cat>
          <c:val>
            <c:numRef>
              <c:f>Sheet1!$B$26:$B$29</c:f>
              <c:numCache>
                <c:formatCode>General</c:formatCode>
                <c:ptCount val="3"/>
                <c:pt idx="0">
                  <c:v>143000</c:v>
                </c:pt>
                <c:pt idx="1">
                  <c:v>2927000</c:v>
                </c:pt>
                <c:pt idx="2">
                  <c:v>102300</c:v>
                </c:pt>
              </c:numCache>
            </c:numRef>
          </c:val>
          <c:extLst>
            <c:ext xmlns:c16="http://schemas.microsoft.com/office/drawing/2014/chart" uri="{C3380CC4-5D6E-409C-BE32-E72D297353CC}">
              <c16:uniqueId val="{00000000-93F9-4F89-AB4C-9ADC6F0BA35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project.xlsx]Sheet1!PivotTable3</c:name>
    <c:fmtId val="1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wise price</a:t>
            </a:r>
            <a:endParaRPr lang="en-US" b="1">
              <a:solidFill>
                <a:sysClr val="windowText" lastClr="000000"/>
              </a:solidFill>
            </a:endParaRPr>
          </a:p>
        </c:rich>
      </c:tx>
      <c:layout>
        <c:manualLayout>
          <c:xMode val="edge"/>
          <c:yMode val="edge"/>
          <c:x val="0.35887853172765172"/>
          <c:y val="4.6296296296296294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Sheet1!$B$42</c:f>
              <c:strCache>
                <c:ptCount val="1"/>
                <c:pt idx="0">
                  <c:v>Total</c:v>
                </c:pt>
              </c:strCache>
            </c:strRef>
          </c:tx>
          <c:spPr>
            <a:solidFill>
              <a:schemeClr val="accent3">
                <a:lumMod val="60000"/>
                <a:lumOff val="40000"/>
              </a:schemeClr>
            </a:solidFill>
            <a:ln>
              <a:noFill/>
            </a:ln>
            <a:effectLst/>
            <a:sp3d/>
          </c:spPr>
          <c:invertIfNegative val="0"/>
          <c:cat>
            <c:strRef>
              <c:f>Sheet1!$A$43:$A$53</c:f>
              <c:strCache>
                <c:ptCount val="10"/>
                <c:pt idx="0">
                  <c:v>Bag</c:v>
                </c:pt>
                <c:pt idx="1">
                  <c:v>Headphones</c:v>
                </c:pt>
                <c:pt idx="2">
                  <c:v>Jeans</c:v>
                </c:pt>
                <c:pt idx="3">
                  <c:v>Laptop</c:v>
                </c:pt>
                <c:pt idx="4">
                  <c:v>Mobile</c:v>
                </c:pt>
                <c:pt idx="5">
                  <c:v>Shoes</c:v>
                </c:pt>
                <c:pt idx="6">
                  <c:v>Smartwatch</c:v>
                </c:pt>
                <c:pt idx="7">
                  <c:v>Tablet</c:v>
                </c:pt>
                <c:pt idx="8">
                  <c:v>T-shirt</c:v>
                </c:pt>
                <c:pt idx="9">
                  <c:v>Watch</c:v>
                </c:pt>
              </c:strCache>
            </c:strRef>
          </c:cat>
          <c:val>
            <c:numRef>
              <c:f>Sheet1!$B$43:$B$53</c:f>
              <c:numCache>
                <c:formatCode>General</c:formatCode>
                <c:ptCount val="10"/>
                <c:pt idx="0">
                  <c:v>31</c:v>
                </c:pt>
                <c:pt idx="1">
                  <c:v>30</c:v>
                </c:pt>
                <c:pt idx="2">
                  <c:v>29</c:v>
                </c:pt>
                <c:pt idx="3">
                  <c:v>28</c:v>
                </c:pt>
                <c:pt idx="4">
                  <c:v>29</c:v>
                </c:pt>
                <c:pt idx="5">
                  <c:v>27</c:v>
                </c:pt>
                <c:pt idx="6">
                  <c:v>41</c:v>
                </c:pt>
                <c:pt idx="7">
                  <c:v>31</c:v>
                </c:pt>
                <c:pt idx="8">
                  <c:v>27</c:v>
                </c:pt>
                <c:pt idx="9">
                  <c:v>27</c:v>
                </c:pt>
              </c:numCache>
            </c:numRef>
          </c:val>
          <c:extLst>
            <c:ext xmlns:c16="http://schemas.microsoft.com/office/drawing/2014/chart" uri="{C3380CC4-5D6E-409C-BE32-E72D297353CC}">
              <c16:uniqueId val="{00000000-DEA9-440E-A5E3-A8381EF14E18}"/>
            </c:ext>
          </c:extLst>
        </c:ser>
        <c:dLbls>
          <c:showLegendKey val="0"/>
          <c:showVal val="0"/>
          <c:showCatName val="0"/>
          <c:showSerName val="0"/>
          <c:showPercent val="0"/>
          <c:showBubbleSize val="0"/>
        </c:dLbls>
        <c:gapWidth val="150"/>
        <c:shape val="box"/>
        <c:axId val="2029559295"/>
        <c:axId val="2029556415"/>
        <c:axId val="0"/>
      </c:bar3DChart>
      <c:catAx>
        <c:axId val="202955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556415"/>
        <c:crosses val="autoZero"/>
        <c:auto val="1"/>
        <c:lblAlgn val="ctr"/>
        <c:lblOffset val="100"/>
        <c:noMultiLvlLbl val="0"/>
      </c:catAx>
      <c:valAx>
        <c:axId val="202955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55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Quantity</a:t>
            </a:r>
            <a:r>
              <a:rPr lang="en-US" baseline="0">
                <a:solidFill>
                  <a:sysClr val="windowText" lastClr="000000"/>
                </a:solidFill>
              </a:rPr>
              <a:t>  by product</a:t>
            </a:r>
            <a:endParaRPr lang="en-US">
              <a:solidFill>
                <a:sysClr val="windowText" lastClr="00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Sheet1!$B$60</c:f>
              <c:strCache>
                <c:ptCount val="1"/>
                <c:pt idx="0">
                  <c:v>Total</c:v>
                </c:pt>
              </c:strCache>
            </c:strRef>
          </c:tx>
          <c:spPr>
            <a:solidFill>
              <a:schemeClr val="accent3">
                <a:lumMod val="60000"/>
                <a:lumOff val="40000"/>
              </a:schemeClr>
            </a:solidFill>
            <a:ln>
              <a:noFill/>
            </a:ln>
            <a:effectLst/>
          </c:spPr>
          <c:invertIfNegative val="0"/>
          <c:cat>
            <c:strRef>
              <c:f>Sheet1!$A$61:$A$71</c:f>
              <c:strCache>
                <c:ptCount val="10"/>
                <c:pt idx="0">
                  <c:v>Bag</c:v>
                </c:pt>
                <c:pt idx="1">
                  <c:v>Headphones</c:v>
                </c:pt>
                <c:pt idx="2">
                  <c:v>Jeans</c:v>
                </c:pt>
                <c:pt idx="3">
                  <c:v>Laptop</c:v>
                </c:pt>
                <c:pt idx="4">
                  <c:v>Mobile</c:v>
                </c:pt>
                <c:pt idx="5">
                  <c:v>Shoes</c:v>
                </c:pt>
                <c:pt idx="6">
                  <c:v>Smartwatch</c:v>
                </c:pt>
                <c:pt idx="7">
                  <c:v>Tablet</c:v>
                </c:pt>
                <c:pt idx="8">
                  <c:v>T-shirt</c:v>
                </c:pt>
                <c:pt idx="9">
                  <c:v>Watch</c:v>
                </c:pt>
              </c:strCache>
            </c:strRef>
          </c:cat>
          <c:val>
            <c:numRef>
              <c:f>Sheet1!$B$61:$B$71</c:f>
              <c:numCache>
                <c:formatCode>General</c:formatCode>
                <c:ptCount val="10"/>
                <c:pt idx="0">
                  <c:v>67</c:v>
                </c:pt>
                <c:pt idx="1">
                  <c:v>55</c:v>
                </c:pt>
                <c:pt idx="2">
                  <c:v>50</c:v>
                </c:pt>
                <c:pt idx="3">
                  <c:v>61</c:v>
                </c:pt>
                <c:pt idx="4">
                  <c:v>56</c:v>
                </c:pt>
                <c:pt idx="5">
                  <c:v>59</c:v>
                </c:pt>
                <c:pt idx="6">
                  <c:v>85</c:v>
                </c:pt>
                <c:pt idx="7">
                  <c:v>64</c:v>
                </c:pt>
                <c:pt idx="8">
                  <c:v>61</c:v>
                </c:pt>
                <c:pt idx="9">
                  <c:v>55</c:v>
                </c:pt>
              </c:numCache>
            </c:numRef>
          </c:val>
          <c:extLst>
            <c:ext xmlns:c16="http://schemas.microsoft.com/office/drawing/2014/chart" uri="{C3380CC4-5D6E-409C-BE32-E72D297353CC}">
              <c16:uniqueId val="{00000000-2AFA-4337-AB05-9F932151060C}"/>
            </c:ext>
          </c:extLst>
        </c:ser>
        <c:dLbls>
          <c:showLegendKey val="0"/>
          <c:showVal val="0"/>
          <c:showCatName val="0"/>
          <c:showSerName val="0"/>
          <c:showPercent val="0"/>
          <c:showBubbleSize val="0"/>
        </c:dLbls>
        <c:gapWidth val="182"/>
        <c:axId val="1925694367"/>
        <c:axId val="1925682847"/>
      </c:barChart>
      <c:catAx>
        <c:axId val="19256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82847"/>
        <c:crosses val="autoZero"/>
        <c:auto val="1"/>
        <c:lblAlgn val="ctr"/>
        <c:lblOffset val="100"/>
        <c:noMultiLvlLbl val="0"/>
      </c:catAx>
      <c:valAx>
        <c:axId val="192568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project.xlsx]Sheet1!PivotTable6</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city wise total sale</a:t>
            </a: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Sheet1!$B$75</c:f>
              <c:strCache>
                <c:ptCount val="1"/>
                <c:pt idx="0">
                  <c:v>Total</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strRef>
              <c:f>Sheet1!$A$76:$A$87</c:f>
              <c:strCache>
                <c:ptCount val="11"/>
                <c:pt idx="0">
                  <c:v>j</c:v>
                </c:pt>
                <c:pt idx="1">
                  <c:v>Mumbai</c:v>
                </c:pt>
                <c:pt idx="2">
                  <c:v>Pune</c:v>
                </c:pt>
                <c:pt idx="3">
                  <c:v>Bangalore</c:v>
                </c:pt>
                <c:pt idx="4">
                  <c:v>Delhi</c:v>
                </c:pt>
                <c:pt idx="5">
                  <c:v>Jaipur</c:v>
                </c:pt>
                <c:pt idx="6">
                  <c:v>Lucknow</c:v>
                </c:pt>
                <c:pt idx="7">
                  <c:v>Chennai</c:v>
                </c:pt>
                <c:pt idx="8">
                  <c:v>Kolkata</c:v>
                </c:pt>
                <c:pt idx="9">
                  <c:v>Ahmedabad</c:v>
                </c:pt>
                <c:pt idx="10">
                  <c:v>Hyderabad</c:v>
                </c:pt>
              </c:strCache>
            </c:strRef>
          </c:cat>
          <c:val>
            <c:numRef>
              <c:f>Sheet1!$B$76:$B$87</c:f>
              <c:numCache>
                <c:formatCode>General</c:formatCode>
                <c:ptCount val="11"/>
                <c:pt idx="1">
                  <c:v>222900</c:v>
                </c:pt>
                <c:pt idx="2">
                  <c:v>471900</c:v>
                </c:pt>
                <c:pt idx="3">
                  <c:v>604700</c:v>
                </c:pt>
                <c:pt idx="4">
                  <c:v>621200</c:v>
                </c:pt>
                <c:pt idx="5">
                  <c:v>650100</c:v>
                </c:pt>
                <c:pt idx="6">
                  <c:v>676100</c:v>
                </c:pt>
                <c:pt idx="7">
                  <c:v>736500</c:v>
                </c:pt>
                <c:pt idx="8">
                  <c:v>804700</c:v>
                </c:pt>
                <c:pt idx="9">
                  <c:v>879200</c:v>
                </c:pt>
                <c:pt idx="10">
                  <c:v>992700</c:v>
                </c:pt>
              </c:numCache>
            </c:numRef>
          </c:val>
          <c:smooth val="0"/>
          <c:extLst>
            <c:ext xmlns:c16="http://schemas.microsoft.com/office/drawing/2014/chart" uri="{C3380CC4-5D6E-409C-BE32-E72D297353CC}">
              <c16:uniqueId val="{00000003-3E25-4C4A-91FD-C30054694EBE}"/>
            </c:ext>
          </c:extLst>
        </c:ser>
        <c:dLbls>
          <c:showLegendKey val="0"/>
          <c:showVal val="0"/>
          <c:showCatName val="0"/>
          <c:showSerName val="0"/>
          <c:showPercent val="0"/>
          <c:showBubbleSize val="0"/>
        </c:dLbls>
        <c:marker val="1"/>
        <c:smooth val="0"/>
        <c:axId val="2029612575"/>
        <c:axId val="2029613535"/>
      </c:lineChart>
      <c:catAx>
        <c:axId val="20296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29613535"/>
        <c:crosses val="autoZero"/>
        <c:auto val="1"/>
        <c:lblAlgn val="ctr"/>
        <c:lblOffset val="100"/>
        <c:noMultiLvlLbl val="0"/>
      </c:catAx>
      <c:valAx>
        <c:axId val="20296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6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payment</a:t>
            </a:r>
            <a:r>
              <a:rPr lang="en-US" baseline="0">
                <a:solidFill>
                  <a:sysClr val="windowText" lastClr="000000"/>
                </a:solidFill>
              </a:rPr>
              <a:t> method by sale</a:t>
            </a:r>
            <a:endParaRPr lang="en-US">
              <a:solidFill>
                <a:sysClr val="windowText" lastClr="000000"/>
              </a:solidFill>
            </a:endParaRPr>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Sheet1!$B$95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Sheet1!$A$96:$A$99</c:f>
              <c:strCache>
                <c:ptCount val="3"/>
                <c:pt idx="0">
                  <c:v>Card</c:v>
                </c:pt>
                <c:pt idx="1">
                  <c:v>COD</c:v>
                </c:pt>
                <c:pt idx="2">
                  <c:v>UPI</c:v>
                </c:pt>
              </c:strCache>
            </c:strRef>
          </c:cat>
          <c:val>
            <c:numRef>
              <c:f>Sheet1!$B$96:$B$99</c:f>
              <c:numCache>
                <c:formatCode>General</c:formatCode>
                <c:ptCount val="3"/>
                <c:pt idx="0">
                  <c:v>1944600</c:v>
                </c:pt>
                <c:pt idx="1">
                  <c:v>1983900</c:v>
                </c:pt>
                <c:pt idx="2">
                  <c:v>2731500</c:v>
                </c:pt>
              </c:numCache>
            </c:numRef>
          </c:val>
          <c:extLst>
            <c:ext xmlns:c16="http://schemas.microsoft.com/office/drawing/2014/chart" uri="{C3380CC4-5D6E-409C-BE32-E72D297353CC}">
              <c16:uniqueId val="{00000000-C7AA-4A94-904C-D4B9C4AF2BC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PRICE</a:t>
            </a:r>
            <a:endParaRPr lang="en-IN"/>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2"/>
          </a:solidFill>
          <a:ln w="19050">
            <a:solidFill>
              <a:schemeClr val="lt1"/>
            </a:solidFill>
          </a:ln>
          <a:effectLst/>
        </c:spPr>
        <c:dLbl>
          <c:idx val="0"/>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dLbl>
          <c:idx val="0"/>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32187A-CA35-4717-9931-F665EED29424}" type="CATEGORYNAME">
                  <a:rPr lang="en-US">
                    <a:solidFill>
                      <a:sysClr val="windowText" lastClr="000000"/>
                    </a:solidFill>
                  </a:rPr>
                  <a:pPr>
                    <a:defRPr/>
                  </a:pPr>
                  <a:t>[CATEGORY NAME]</a:t>
                </a:fld>
                <a:r>
                  <a:rPr lang="en-US" baseline="0"/>
                  <a:t>
</a:t>
                </a:r>
                <a:fld id="{61C62DD6-DF25-46CC-BB76-CF2FBF7CA35C}" type="PERCENTAGE">
                  <a:rPr lang="en-US" baseline="0"/>
                  <a:pPr>
                    <a:defRPr/>
                  </a:pPr>
                  <a:t>[PERCENTAGE]</a:t>
                </a:fld>
                <a:endParaRPr lang="en-US" baseline="0"/>
              </a:p>
            </c:rich>
          </c:tx>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pivotFmt>
    </c:pivotFmts>
    <c:plotArea>
      <c:layout/>
      <c:pieChart>
        <c:varyColors val="1"/>
        <c:ser>
          <c:idx val="0"/>
          <c:order val="0"/>
          <c:tx>
            <c:strRef>
              <c:f>Sheet1!$B$25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CA-4992-B76A-77B0453FF4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CA-4992-B76A-77B0453FF4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CA-4992-B76A-77B0453FF4F8}"/>
              </c:ext>
            </c:extLst>
          </c:dPt>
          <c:dLbls>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32187A-CA35-4717-9931-F665EED29424}" type="CATEGORYNAME">
                      <a:rPr lang="en-US">
                        <a:solidFill>
                          <a:sysClr val="windowText" lastClr="000000"/>
                        </a:solidFill>
                      </a:rPr>
                      <a:pPr>
                        <a:defRPr/>
                      </a:pPr>
                      <a:t>[CATEGORY NAME]</a:t>
                    </a:fld>
                    <a:r>
                      <a:rPr lang="en-US" baseline="0"/>
                      <a:t>
</a:t>
                    </a:r>
                    <a:fld id="{61C62DD6-DF25-46CC-BB76-CF2FBF7CA35C}" type="PERCENTAGE">
                      <a:rPr lang="en-US" baseline="0"/>
                      <a:pPr>
                        <a:defRPr/>
                      </a:pPr>
                      <a:t>[PERCENTAGE]</a:t>
                    </a:fld>
                    <a:endParaRPr lang="en-US" baseline="0"/>
                  </a:p>
                </c:rich>
              </c:tx>
              <c:spPr>
                <a:solidFill>
                  <a:srgbClr val="156082">
                    <a:lumMod val="40000"/>
                    <a:lumOff val="60000"/>
                  </a:srgbClr>
                </a:solidFill>
                <a:ln>
                  <a:solidFill>
                    <a:srgbClr val="E8E8E8">
                      <a:lumMod val="1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6FCA-4992-B76A-77B0453FF4F8}"/>
                </c:ext>
              </c:extLst>
            </c:dLbl>
            <c:spPr>
              <a:solidFill>
                <a:srgbClr val="156082">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Sheet1!$A$26:$A$29</c:f>
              <c:strCache>
                <c:ptCount val="3"/>
                <c:pt idx="0">
                  <c:v>Accessories</c:v>
                </c:pt>
                <c:pt idx="1">
                  <c:v>Electronics</c:v>
                </c:pt>
                <c:pt idx="2">
                  <c:v>Fashion</c:v>
                </c:pt>
              </c:strCache>
            </c:strRef>
          </c:cat>
          <c:val>
            <c:numRef>
              <c:f>Sheet1!$B$26:$B$29</c:f>
              <c:numCache>
                <c:formatCode>General</c:formatCode>
                <c:ptCount val="3"/>
                <c:pt idx="0">
                  <c:v>143000</c:v>
                </c:pt>
                <c:pt idx="1">
                  <c:v>2927000</c:v>
                </c:pt>
                <c:pt idx="2">
                  <c:v>102300</c:v>
                </c:pt>
              </c:numCache>
            </c:numRef>
          </c:val>
          <c:extLst>
            <c:ext xmlns:c16="http://schemas.microsoft.com/office/drawing/2014/chart" uri="{C3380CC4-5D6E-409C-BE32-E72D297353CC}">
              <c16:uniqueId val="{00000006-6FCA-4992-B76A-77B0453FF4F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project.xlsx]Sheet1!PivotTable3</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wise price</a:t>
            </a:r>
            <a:endParaRPr lang="en-US" b="1">
              <a:solidFill>
                <a:sysClr val="windowText" lastClr="000000"/>
              </a:solidFill>
            </a:endParaRPr>
          </a:p>
        </c:rich>
      </c:tx>
      <c:layout>
        <c:manualLayout>
          <c:xMode val="edge"/>
          <c:yMode val="edge"/>
          <c:x val="0.35887853172765172"/>
          <c:y val="4.6296296296296294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Sheet1!$B$42</c:f>
              <c:strCache>
                <c:ptCount val="1"/>
                <c:pt idx="0">
                  <c:v>Total</c:v>
                </c:pt>
              </c:strCache>
            </c:strRef>
          </c:tx>
          <c:spPr>
            <a:solidFill>
              <a:schemeClr val="accent3">
                <a:lumMod val="60000"/>
                <a:lumOff val="40000"/>
              </a:schemeClr>
            </a:solidFill>
            <a:ln>
              <a:noFill/>
            </a:ln>
            <a:effectLst/>
            <a:sp3d/>
          </c:spPr>
          <c:invertIfNegative val="0"/>
          <c:cat>
            <c:strRef>
              <c:f>Sheet1!$A$43:$A$53</c:f>
              <c:strCache>
                <c:ptCount val="10"/>
                <c:pt idx="0">
                  <c:v>Bag</c:v>
                </c:pt>
                <c:pt idx="1">
                  <c:v>Headphones</c:v>
                </c:pt>
                <c:pt idx="2">
                  <c:v>Jeans</c:v>
                </c:pt>
                <c:pt idx="3">
                  <c:v>Laptop</c:v>
                </c:pt>
                <c:pt idx="4">
                  <c:v>Mobile</c:v>
                </c:pt>
                <c:pt idx="5">
                  <c:v>Shoes</c:v>
                </c:pt>
                <c:pt idx="6">
                  <c:v>Smartwatch</c:v>
                </c:pt>
                <c:pt idx="7">
                  <c:v>Tablet</c:v>
                </c:pt>
                <c:pt idx="8">
                  <c:v>T-shirt</c:v>
                </c:pt>
                <c:pt idx="9">
                  <c:v>Watch</c:v>
                </c:pt>
              </c:strCache>
            </c:strRef>
          </c:cat>
          <c:val>
            <c:numRef>
              <c:f>Sheet1!$B$43:$B$53</c:f>
              <c:numCache>
                <c:formatCode>General</c:formatCode>
                <c:ptCount val="10"/>
                <c:pt idx="0">
                  <c:v>31</c:v>
                </c:pt>
                <c:pt idx="1">
                  <c:v>30</c:v>
                </c:pt>
                <c:pt idx="2">
                  <c:v>29</c:v>
                </c:pt>
                <c:pt idx="3">
                  <c:v>28</c:v>
                </c:pt>
                <c:pt idx="4">
                  <c:v>29</c:v>
                </c:pt>
                <c:pt idx="5">
                  <c:v>27</c:v>
                </c:pt>
                <c:pt idx="6">
                  <c:v>41</c:v>
                </c:pt>
                <c:pt idx="7">
                  <c:v>31</c:v>
                </c:pt>
                <c:pt idx="8">
                  <c:v>27</c:v>
                </c:pt>
                <c:pt idx="9">
                  <c:v>27</c:v>
                </c:pt>
              </c:numCache>
            </c:numRef>
          </c:val>
          <c:extLst>
            <c:ext xmlns:c16="http://schemas.microsoft.com/office/drawing/2014/chart" uri="{C3380CC4-5D6E-409C-BE32-E72D297353CC}">
              <c16:uniqueId val="{00000000-4122-4DAA-A979-42EE42215C3C}"/>
            </c:ext>
          </c:extLst>
        </c:ser>
        <c:dLbls>
          <c:showLegendKey val="0"/>
          <c:showVal val="0"/>
          <c:showCatName val="0"/>
          <c:showSerName val="0"/>
          <c:showPercent val="0"/>
          <c:showBubbleSize val="0"/>
        </c:dLbls>
        <c:gapWidth val="150"/>
        <c:shape val="box"/>
        <c:axId val="2029559295"/>
        <c:axId val="2029556415"/>
        <c:axId val="0"/>
      </c:bar3DChart>
      <c:catAx>
        <c:axId val="202955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556415"/>
        <c:crosses val="autoZero"/>
        <c:auto val="1"/>
        <c:lblAlgn val="ctr"/>
        <c:lblOffset val="100"/>
        <c:noMultiLvlLbl val="0"/>
      </c:catAx>
      <c:valAx>
        <c:axId val="202955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55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Quantity</a:t>
            </a:r>
            <a:r>
              <a:rPr lang="en-US" baseline="0">
                <a:solidFill>
                  <a:sysClr val="windowText" lastClr="000000"/>
                </a:solidFill>
              </a:rPr>
              <a:t>  by product</a:t>
            </a:r>
            <a:endParaRPr lang="en-US">
              <a:solidFill>
                <a:sysClr val="windowText" lastClr="00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3951589384659"/>
          <c:y val="0.18097222222222226"/>
          <c:w val="0.77164863366622827"/>
          <c:h val="0.72125801983085447"/>
        </c:manualLayout>
      </c:layout>
      <c:barChart>
        <c:barDir val="bar"/>
        <c:grouping val="clustered"/>
        <c:varyColors val="0"/>
        <c:ser>
          <c:idx val="0"/>
          <c:order val="0"/>
          <c:tx>
            <c:strRef>
              <c:f>Sheet1!$B$60</c:f>
              <c:strCache>
                <c:ptCount val="1"/>
                <c:pt idx="0">
                  <c:v>Total</c:v>
                </c:pt>
              </c:strCache>
            </c:strRef>
          </c:tx>
          <c:spPr>
            <a:solidFill>
              <a:schemeClr val="accent3">
                <a:lumMod val="60000"/>
                <a:lumOff val="40000"/>
              </a:schemeClr>
            </a:solidFill>
            <a:ln>
              <a:noFill/>
            </a:ln>
            <a:effectLst/>
          </c:spPr>
          <c:invertIfNegative val="0"/>
          <c:cat>
            <c:strRef>
              <c:f>Sheet1!$A$61:$A$71</c:f>
              <c:strCache>
                <c:ptCount val="10"/>
                <c:pt idx="0">
                  <c:v>Bag</c:v>
                </c:pt>
                <c:pt idx="1">
                  <c:v>Headphones</c:v>
                </c:pt>
                <c:pt idx="2">
                  <c:v>Jeans</c:v>
                </c:pt>
                <c:pt idx="3">
                  <c:v>Laptop</c:v>
                </c:pt>
                <c:pt idx="4">
                  <c:v>Mobile</c:v>
                </c:pt>
                <c:pt idx="5">
                  <c:v>Shoes</c:v>
                </c:pt>
                <c:pt idx="6">
                  <c:v>Smartwatch</c:v>
                </c:pt>
                <c:pt idx="7">
                  <c:v>Tablet</c:v>
                </c:pt>
                <c:pt idx="8">
                  <c:v>T-shirt</c:v>
                </c:pt>
                <c:pt idx="9">
                  <c:v>Watch</c:v>
                </c:pt>
              </c:strCache>
            </c:strRef>
          </c:cat>
          <c:val>
            <c:numRef>
              <c:f>Sheet1!$B$61:$B$71</c:f>
              <c:numCache>
                <c:formatCode>General</c:formatCode>
                <c:ptCount val="10"/>
                <c:pt idx="0">
                  <c:v>67</c:v>
                </c:pt>
                <c:pt idx="1">
                  <c:v>55</c:v>
                </c:pt>
                <c:pt idx="2">
                  <c:v>50</c:v>
                </c:pt>
                <c:pt idx="3">
                  <c:v>61</c:v>
                </c:pt>
                <c:pt idx="4">
                  <c:v>56</c:v>
                </c:pt>
                <c:pt idx="5">
                  <c:v>59</c:v>
                </c:pt>
                <c:pt idx="6">
                  <c:v>85</c:v>
                </c:pt>
                <c:pt idx="7">
                  <c:v>64</c:v>
                </c:pt>
                <c:pt idx="8">
                  <c:v>61</c:v>
                </c:pt>
                <c:pt idx="9">
                  <c:v>55</c:v>
                </c:pt>
              </c:numCache>
            </c:numRef>
          </c:val>
          <c:extLst>
            <c:ext xmlns:c16="http://schemas.microsoft.com/office/drawing/2014/chart" uri="{C3380CC4-5D6E-409C-BE32-E72D297353CC}">
              <c16:uniqueId val="{00000000-1223-4AC6-B5BE-A6D3DE4FC08B}"/>
            </c:ext>
          </c:extLst>
        </c:ser>
        <c:dLbls>
          <c:showLegendKey val="0"/>
          <c:showVal val="0"/>
          <c:showCatName val="0"/>
          <c:showSerName val="0"/>
          <c:showPercent val="0"/>
          <c:showBubbleSize val="0"/>
        </c:dLbls>
        <c:gapWidth val="182"/>
        <c:axId val="1925694367"/>
        <c:axId val="1925682847"/>
      </c:barChart>
      <c:catAx>
        <c:axId val="19256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82847"/>
        <c:crosses val="autoZero"/>
        <c:auto val="1"/>
        <c:lblAlgn val="ctr"/>
        <c:lblOffset val="100"/>
        <c:noMultiLvlLbl val="0"/>
      </c:catAx>
      <c:valAx>
        <c:axId val="192568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project.xlsx]Sheet1!PivotTable6</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city wise total sale</a:t>
            </a: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Sheet1!$B$75</c:f>
              <c:strCache>
                <c:ptCount val="1"/>
                <c:pt idx="0">
                  <c:v>Total</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strRef>
              <c:f>Sheet1!$A$76:$A$87</c:f>
              <c:strCache>
                <c:ptCount val="11"/>
                <c:pt idx="0">
                  <c:v>j</c:v>
                </c:pt>
                <c:pt idx="1">
                  <c:v>Mumbai</c:v>
                </c:pt>
                <c:pt idx="2">
                  <c:v>Pune</c:v>
                </c:pt>
                <c:pt idx="3">
                  <c:v>Bangalore</c:v>
                </c:pt>
                <c:pt idx="4">
                  <c:v>Delhi</c:v>
                </c:pt>
                <c:pt idx="5">
                  <c:v>Jaipur</c:v>
                </c:pt>
                <c:pt idx="6">
                  <c:v>Lucknow</c:v>
                </c:pt>
                <c:pt idx="7">
                  <c:v>Chennai</c:v>
                </c:pt>
                <c:pt idx="8">
                  <c:v>Kolkata</c:v>
                </c:pt>
                <c:pt idx="9">
                  <c:v>Ahmedabad</c:v>
                </c:pt>
                <c:pt idx="10">
                  <c:v>Hyderabad</c:v>
                </c:pt>
              </c:strCache>
            </c:strRef>
          </c:cat>
          <c:val>
            <c:numRef>
              <c:f>Sheet1!$B$76:$B$87</c:f>
              <c:numCache>
                <c:formatCode>General</c:formatCode>
                <c:ptCount val="11"/>
                <c:pt idx="1">
                  <c:v>222900</c:v>
                </c:pt>
                <c:pt idx="2">
                  <c:v>471900</c:v>
                </c:pt>
                <c:pt idx="3">
                  <c:v>604700</c:v>
                </c:pt>
                <c:pt idx="4">
                  <c:v>621200</c:v>
                </c:pt>
                <c:pt idx="5">
                  <c:v>650100</c:v>
                </c:pt>
                <c:pt idx="6">
                  <c:v>676100</c:v>
                </c:pt>
                <c:pt idx="7">
                  <c:v>736500</c:v>
                </c:pt>
                <c:pt idx="8">
                  <c:v>804700</c:v>
                </c:pt>
                <c:pt idx="9">
                  <c:v>879200</c:v>
                </c:pt>
                <c:pt idx="10">
                  <c:v>992700</c:v>
                </c:pt>
              </c:numCache>
            </c:numRef>
          </c:val>
          <c:smooth val="0"/>
          <c:extLst>
            <c:ext xmlns:c16="http://schemas.microsoft.com/office/drawing/2014/chart" uri="{C3380CC4-5D6E-409C-BE32-E72D297353CC}">
              <c16:uniqueId val="{00000000-E34D-40CC-8B49-0C01597203B2}"/>
            </c:ext>
          </c:extLst>
        </c:ser>
        <c:dLbls>
          <c:showLegendKey val="0"/>
          <c:showVal val="0"/>
          <c:showCatName val="0"/>
          <c:showSerName val="0"/>
          <c:showPercent val="0"/>
          <c:showBubbleSize val="0"/>
        </c:dLbls>
        <c:marker val="1"/>
        <c:smooth val="0"/>
        <c:axId val="2029612575"/>
        <c:axId val="2029613535"/>
      </c:lineChart>
      <c:catAx>
        <c:axId val="20296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29613535"/>
        <c:crosses val="autoZero"/>
        <c:auto val="1"/>
        <c:lblAlgn val="ctr"/>
        <c:lblOffset val="100"/>
        <c:noMultiLvlLbl val="0"/>
      </c:catAx>
      <c:valAx>
        <c:axId val="20296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96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[exca; project.xlsx]Sheet1!PivotTable7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payment</a:t>
            </a:r>
            <a:r>
              <a:rPr lang="en-US" baseline="0">
                <a:solidFill>
                  <a:sysClr val="windowText" lastClr="000000"/>
                </a:solidFill>
              </a:rPr>
              <a:t> method by sale</a:t>
            </a:r>
            <a:endParaRPr lang="en-US">
              <a:solidFill>
                <a:sysClr val="windowText" lastClr="000000"/>
              </a:solidFill>
            </a:endParaRPr>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Sheet1!$B$95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79-4C89-892A-5C1474C7BD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79-4C89-892A-5C1474C7BD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79-4C89-892A-5C1474C7BD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Sheet1!$A$96:$A$99</c:f>
              <c:strCache>
                <c:ptCount val="3"/>
                <c:pt idx="0">
                  <c:v>Card</c:v>
                </c:pt>
                <c:pt idx="1">
                  <c:v>COD</c:v>
                </c:pt>
                <c:pt idx="2">
                  <c:v>UPI</c:v>
                </c:pt>
              </c:strCache>
            </c:strRef>
          </c:cat>
          <c:val>
            <c:numRef>
              <c:f>Sheet1!$B$96:$B$99</c:f>
              <c:numCache>
                <c:formatCode>General</c:formatCode>
                <c:ptCount val="3"/>
                <c:pt idx="0">
                  <c:v>1944600</c:v>
                </c:pt>
                <c:pt idx="1">
                  <c:v>1983900</c:v>
                </c:pt>
                <c:pt idx="2">
                  <c:v>2731500</c:v>
                </c:pt>
              </c:numCache>
            </c:numRef>
          </c:val>
          <c:extLst>
            <c:ext xmlns:c16="http://schemas.microsoft.com/office/drawing/2014/chart" uri="{C3380CC4-5D6E-409C-BE32-E72D297353CC}">
              <c16:uniqueId val="{00000006-3779-4C89-892A-5C1474C7BD8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754380</xdr:colOff>
      <xdr:row>5</xdr:row>
      <xdr:rowOff>38100</xdr:rowOff>
    </xdr:from>
    <xdr:to>
      <xdr:col>7</xdr:col>
      <xdr:colOff>449580</xdr:colOff>
      <xdr:row>19</xdr:row>
      <xdr:rowOff>59055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8F9F42AA-83E1-91E0-6419-0F80B552ACD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966460" y="952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5</xdr:row>
      <xdr:rowOff>22860</xdr:rowOff>
    </xdr:from>
    <xdr:to>
      <xdr:col>9</xdr:col>
      <xdr:colOff>251460</xdr:colOff>
      <xdr:row>19</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4A7A8AF-CC4A-119E-6086-FB24FF3DCD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01940" y="937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5</xdr:row>
      <xdr:rowOff>38100</xdr:rowOff>
    </xdr:from>
    <xdr:to>
      <xdr:col>11</xdr:col>
      <xdr:colOff>38100</xdr:colOff>
      <xdr:row>19</xdr:row>
      <xdr:rowOff>59055</xdr:rowOff>
    </xdr:to>
    <mc:AlternateContent xmlns:mc="http://schemas.openxmlformats.org/markup-compatibility/2006">
      <mc:Choice xmlns:a14="http://schemas.microsoft.com/office/drawing/2010/main" Requires="a14">
        <xdr:graphicFrame macro="">
          <xdr:nvGraphicFramePr>
            <xdr:cNvPr id="4" name="Price">
              <a:extLst>
                <a:ext uri="{FF2B5EF4-FFF2-40B4-BE49-F238E27FC236}">
                  <a16:creationId xmlns:a16="http://schemas.microsoft.com/office/drawing/2014/main" id="{163C61CF-113D-8C19-F5C7-AFF9E63803A4}"/>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9822180" y="952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1051560</xdr:colOff>
      <xdr:row>20</xdr:row>
      <xdr:rowOff>156210</xdr:rowOff>
    </xdr:from>
    <xdr:to>
      <xdr:col>7</xdr:col>
      <xdr:colOff>556260</xdr:colOff>
      <xdr:row>35</xdr:row>
      <xdr:rowOff>156210</xdr:rowOff>
    </xdr:to>
    <xdr:graphicFrame macro="">
      <xdr:nvGraphicFramePr>
        <xdr:cNvPr id="5" name="Chart 4">
          <a:extLst>
            <a:ext uri="{FF2B5EF4-FFF2-40B4-BE49-F238E27FC236}">
              <a16:creationId xmlns:a16="http://schemas.microsoft.com/office/drawing/2014/main" id="{527B636B-D1B5-4BD3-6C48-A3FDAFD4F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891540</xdr:colOff>
      <xdr:row>38</xdr:row>
      <xdr:rowOff>140970</xdr:rowOff>
    </xdr:from>
    <xdr:to>
      <xdr:col>6</xdr:col>
      <xdr:colOff>594360</xdr:colOff>
      <xdr:row>53</xdr:row>
      <xdr:rowOff>140970</xdr:rowOff>
    </xdr:to>
    <xdr:graphicFrame macro="">
      <xdr:nvGraphicFramePr>
        <xdr:cNvPr id="6" name="Chart 5">
          <a:extLst>
            <a:ext uri="{FF2B5EF4-FFF2-40B4-BE49-F238E27FC236}">
              <a16:creationId xmlns:a16="http://schemas.microsoft.com/office/drawing/2014/main" id="{5681DD50-E69C-0AA0-8465-CC8FFC06D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55</xdr:row>
      <xdr:rowOff>148590</xdr:rowOff>
    </xdr:from>
    <xdr:to>
      <xdr:col>6</xdr:col>
      <xdr:colOff>838200</xdr:colOff>
      <xdr:row>70</xdr:row>
      <xdr:rowOff>148590</xdr:rowOff>
    </xdr:to>
    <xdr:graphicFrame macro="">
      <xdr:nvGraphicFramePr>
        <xdr:cNvPr id="7" name="Chart 6">
          <a:extLst>
            <a:ext uri="{FF2B5EF4-FFF2-40B4-BE49-F238E27FC236}">
              <a16:creationId xmlns:a16="http://schemas.microsoft.com/office/drawing/2014/main" id="{0C1E42A9-6BD8-C93A-4A02-928CFDBBE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73</xdr:row>
      <xdr:rowOff>102870</xdr:rowOff>
    </xdr:from>
    <xdr:to>
      <xdr:col>6</xdr:col>
      <xdr:colOff>739140</xdr:colOff>
      <xdr:row>87</xdr:row>
      <xdr:rowOff>129540</xdr:rowOff>
    </xdr:to>
    <xdr:graphicFrame macro="">
      <xdr:nvGraphicFramePr>
        <xdr:cNvPr id="8" name="Chart 7">
          <a:extLst>
            <a:ext uri="{FF2B5EF4-FFF2-40B4-BE49-F238E27FC236}">
              <a16:creationId xmlns:a16="http://schemas.microsoft.com/office/drawing/2014/main" id="{4C57E5B8-11D5-88F1-482B-F6B164A99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89</xdr:row>
      <xdr:rowOff>163830</xdr:rowOff>
    </xdr:from>
    <xdr:to>
      <xdr:col>6</xdr:col>
      <xdr:colOff>632460</xdr:colOff>
      <xdr:row>104</xdr:row>
      <xdr:rowOff>163830</xdr:rowOff>
    </xdr:to>
    <xdr:graphicFrame macro="">
      <xdr:nvGraphicFramePr>
        <xdr:cNvPr id="9" name="Chart 8">
          <a:extLst>
            <a:ext uri="{FF2B5EF4-FFF2-40B4-BE49-F238E27FC236}">
              <a16:creationId xmlns:a16="http://schemas.microsoft.com/office/drawing/2014/main" id="{1AB0D7C0-589A-36A1-6E51-2D5727138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15240</xdr:rowOff>
    </xdr:from>
    <xdr:to>
      <xdr:col>26</xdr:col>
      <xdr:colOff>73742</xdr:colOff>
      <xdr:row>29</xdr:row>
      <xdr:rowOff>147484</xdr:rowOff>
    </xdr:to>
    <xdr:sp macro="" textlink="">
      <xdr:nvSpPr>
        <xdr:cNvPr id="2" name="Rectangle 1">
          <a:extLst>
            <a:ext uri="{FF2B5EF4-FFF2-40B4-BE49-F238E27FC236}">
              <a16:creationId xmlns:a16="http://schemas.microsoft.com/office/drawing/2014/main" id="{98517BE6-ECE9-4F15-D8BD-21079AA4DD55}"/>
            </a:ext>
          </a:extLst>
        </xdr:cNvPr>
        <xdr:cNvSpPr/>
      </xdr:nvSpPr>
      <xdr:spPr>
        <a:xfrm>
          <a:off x="45720" y="15240"/>
          <a:ext cx="15792409" cy="5408889"/>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0</xdr:row>
      <xdr:rowOff>53339</xdr:rowOff>
    </xdr:from>
    <xdr:to>
      <xdr:col>4</xdr:col>
      <xdr:colOff>129540</xdr:colOff>
      <xdr:row>29</xdr:row>
      <xdr:rowOff>81934</xdr:rowOff>
    </xdr:to>
    <xdr:sp macro="" textlink="">
      <xdr:nvSpPr>
        <xdr:cNvPr id="3" name="Rectangle 2">
          <a:extLst>
            <a:ext uri="{FF2B5EF4-FFF2-40B4-BE49-F238E27FC236}">
              <a16:creationId xmlns:a16="http://schemas.microsoft.com/office/drawing/2014/main" id="{F025BDB8-7C29-5304-B207-938D18332615}"/>
            </a:ext>
          </a:extLst>
        </xdr:cNvPr>
        <xdr:cNvSpPr/>
      </xdr:nvSpPr>
      <xdr:spPr>
        <a:xfrm>
          <a:off x="91440" y="53339"/>
          <a:ext cx="2463390" cy="52560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121920</xdr:colOff>
      <xdr:row>0</xdr:row>
      <xdr:rowOff>106681</xdr:rowOff>
    </xdr:from>
    <xdr:to>
      <xdr:col>4</xdr:col>
      <xdr:colOff>76200</xdr:colOff>
      <xdr:row>6</xdr:row>
      <xdr:rowOff>32775</xdr:rowOff>
    </xdr:to>
    <xdr:pic>
      <xdr:nvPicPr>
        <xdr:cNvPr id="5" name="Picture 4">
          <a:extLst>
            <a:ext uri="{FF2B5EF4-FFF2-40B4-BE49-F238E27FC236}">
              <a16:creationId xmlns:a16="http://schemas.microsoft.com/office/drawing/2014/main" id="{7F8315E5-0D6B-208A-6709-C7DF383D1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106681"/>
          <a:ext cx="2379570" cy="1056804"/>
        </a:xfrm>
        <a:prstGeom prst="rect">
          <a:avLst/>
        </a:prstGeom>
      </xdr:spPr>
    </xdr:pic>
    <xdr:clientData/>
  </xdr:twoCellAnchor>
  <xdr:twoCellAnchor editAs="oneCell">
    <xdr:from>
      <xdr:col>0</xdr:col>
      <xdr:colOff>147484</xdr:colOff>
      <xdr:row>13</xdr:row>
      <xdr:rowOff>96766</xdr:rowOff>
    </xdr:from>
    <xdr:to>
      <xdr:col>4</xdr:col>
      <xdr:colOff>65549</xdr:colOff>
      <xdr:row>20</xdr:row>
      <xdr:rowOff>106516</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4A550DC3-95BC-4DED-AD51-9F1B4E1AC9F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7484" y="2489282"/>
              <a:ext cx="2343355" cy="127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6</xdr:row>
      <xdr:rowOff>131263</xdr:rowOff>
    </xdr:from>
    <xdr:to>
      <xdr:col>4</xdr:col>
      <xdr:colOff>60960</xdr:colOff>
      <xdr:row>13</xdr:row>
      <xdr:rowOff>39822</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796ED79C-7F57-4FEB-929A-B7C0E10ADA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7160" y="1261973"/>
              <a:ext cx="2349090" cy="1170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146583</xdr:colOff>
      <xdr:row>21</xdr:row>
      <xdr:rowOff>6637</xdr:rowOff>
    </xdr:from>
    <xdr:to>
      <xdr:col>4</xdr:col>
      <xdr:colOff>24581</xdr:colOff>
      <xdr:row>28</xdr:row>
      <xdr:rowOff>155678</xdr:rowOff>
    </xdr:to>
    <mc:AlternateContent xmlns:mc="http://schemas.openxmlformats.org/markup-compatibility/2006">
      <mc:Choice xmlns:a14="http://schemas.microsoft.com/office/drawing/2010/main" Requires="a14">
        <xdr:graphicFrame macro="">
          <xdr:nvGraphicFramePr>
            <xdr:cNvPr id="8" name="Price 1">
              <a:extLst>
                <a:ext uri="{FF2B5EF4-FFF2-40B4-BE49-F238E27FC236}">
                  <a16:creationId xmlns:a16="http://schemas.microsoft.com/office/drawing/2014/main" id="{11D60FAE-44EE-4EB1-BCF5-0EAC96717323}"/>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146583" y="3841218"/>
              <a:ext cx="2303288" cy="141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204839</xdr:colOff>
      <xdr:row>0</xdr:row>
      <xdr:rowOff>65548</xdr:rowOff>
    </xdr:from>
    <xdr:to>
      <xdr:col>7</xdr:col>
      <xdr:colOff>450645</xdr:colOff>
      <xdr:row>5</xdr:row>
      <xdr:rowOff>81936</xdr:rowOff>
    </xdr:to>
    <xdr:sp macro="" textlink="Sheet1!$A$7">
      <xdr:nvSpPr>
        <xdr:cNvPr id="9" name="Rectangle: Rounded Corners 8">
          <a:extLst>
            <a:ext uri="{FF2B5EF4-FFF2-40B4-BE49-F238E27FC236}">
              <a16:creationId xmlns:a16="http://schemas.microsoft.com/office/drawing/2014/main" id="{69292208-6A2D-38B1-6D23-F6FB9CF94B81}"/>
            </a:ext>
          </a:extLst>
        </xdr:cNvPr>
        <xdr:cNvSpPr/>
      </xdr:nvSpPr>
      <xdr:spPr>
        <a:xfrm>
          <a:off x="2630129" y="65548"/>
          <a:ext cx="2064774" cy="917678"/>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754859-1D7F-4FDC-BDA5-F7F61DC37EF4}" type="TxLink">
            <a:rPr lang="en-US" sz="2400" b="1" i="0" u="none" strike="noStrike">
              <a:solidFill>
                <a:srgbClr val="000000"/>
              </a:solidFill>
              <a:latin typeface="Aptos Narrow"/>
            </a:rPr>
            <a:pPr algn="ctr"/>
            <a:t>613</a:t>
          </a:fld>
          <a:endParaRPr lang="en-IN" sz="2400" b="1"/>
        </a:p>
      </xdr:txBody>
    </xdr:sp>
    <xdr:clientData/>
  </xdr:twoCellAnchor>
  <xdr:twoCellAnchor>
    <xdr:from>
      <xdr:col>7</xdr:col>
      <xdr:colOff>521110</xdr:colOff>
      <xdr:row>5</xdr:row>
      <xdr:rowOff>176980</xdr:rowOff>
    </xdr:from>
    <xdr:to>
      <xdr:col>11</xdr:col>
      <xdr:colOff>160594</xdr:colOff>
      <xdr:row>11</xdr:row>
      <xdr:rowOff>13109</xdr:rowOff>
    </xdr:to>
    <xdr:sp macro="" textlink="Sheet1!$D$7">
      <xdr:nvSpPr>
        <xdr:cNvPr id="10" name="Rectangle: Rounded Corners 9">
          <a:extLst>
            <a:ext uri="{FF2B5EF4-FFF2-40B4-BE49-F238E27FC236}">
              <a16:creationId xmlns:a16="http://schemas.microsoft.com/office/drawing/2014/main" id="{D6C1E6F2-AD02-49B8-B3F0-8470CC5E6B45}"/>
            </a:ext>
          </a:extLst>
        </xdr:cNvPr>
        <xdr:cNvSpPr/>
      </xdr:nvSpPr>
      <xdr:spPr>
        <a:xfrm>
          <a:off x="4765368" y="1078270"/>
          <a:ext cx="2064774" cy="917678"/>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C66C9E4-FEDB-461A-A475-75E67517C368}" type="TxLink">
            <a:rPr lang="en-US" sz="2000" b="1" i="0" u="none" strike="noStrike">
              <a:solidFill>
                <a:srgbClr val="000000"/>
              </a:solidFill>
              <a:latin typeface="Aptos Narrow"/>
            </a:rPr>
            <a:pPr algn="ctr"/>
            <a:t>6660000</a:t>
          </a:fld>
          <a:endParaRPr lang="en-IN" sz="2000" b="1"/>
        </a:p>
      </xdr:txBody>
    </xdr:sp>
    <xdr:clientData/>
  </xdr:twoCellAnchor>
  <xdr:twoCellAnchor>
    <xdr:from>
      <xdr:col>4</xdr:col>
      <xdr:colOff>214670</xdr:colOff>
      <xdr:row>5</xdr:row>
      <xdr:rowOff>149122</xdr:rowOff>
    </xdr:from>
    <xdr:to>
      <xdr:col>7</xdr:col>
      <xdr:colOff>460476</xdr:colOff>
      <xdr:row>10</xdr:row>
      <xdr:rowOff>165509</xdr:rowOff>
    </xdr:to>
    <xdr:sp macro="" textlink="Sheet1!$C$7">
      <xdr:nvSpPr>
        <xdr:cNvPr id="11" name="Rectangle: Rounded Corners 10">
          <a:extLst>
            <a:ext uri="{FF2B5EF4-FFF2-40B4-BE49-F238E27FC236}">
              <a16:creationId xmlns:a16="http://schemas.microsoft.com/office/drawing/2014/main" id="{D623CC4C-8349-4F1F-98AA-D8A7099F45E9}"/>
            </a:ext>
          </a:extLst>
        </xdr:cNvPr>
        <xdr:cNvSpPr/>
      </xdr:nvSpPr>
      <xdr:spPr>
        <a:xfrm>
          <a:off x="2639960" y="1050412"/>
          <a:ext cx="2064774" cy="917678"/>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F957C2-E6A0-4E15-A6C1-C584DB3F6C81}" type="TxLink">
            <a:rPr lang="en-US" sz="2400" b="1" i="1" u="none" strike="noStrike">
              <a:solidFill>
                <a:srgbClr val="000000"/>
              </a:solidFill>
              <a:latin typeface="Aptos Narrow"/>
            </a:rPr>
            <a:pPr algn="ctr"/>
            <a:t>55000</a:t>
          </a:fld>
          <a:endParaRPr lang="en-IN" sz="2400" b="1" i="1"/>
        </a:p>
      </xdr:txBody>
    </xdr:sp>
    <xdr:clientData/>
  </xdr:twoCellAnchor>
  <xdr:twoCellAnchor>
    <xdr:from>
      <xdr:col>7</xdr:col>
      <xdr:colOff>530942</xdr:colOff>
      <xdr:row>0</xdr:row>
      <xdr:rowOff>72103</xdr:rowOff>
    </xdr:from>
    <xdr:to>
      <xdr:col>11</xdr:col>
      <xdr:colOff>170426</xdr:colOff>
      <xdr:row>5</xdr:row>
      <xdr:rowOff>88491</xdr:rowOff>
    </xdr:to>
    <xdr:sp macro="" textlink="Sheet1!$B$7">
      <xdr:nvSpPr>
        <xdr:cNvPr id="12" name="Rectangle: Rounded Corners 11">
          <a:extLst>
            <a:ext uri="{FF2B5EF4-FFF2-40B4-BE49-F238E27FC236}">
              <a16:creationId xmlns:a16="http://schemas.microsoft.com/office/drawing/2014/main" id="{FD052A45-CBC6-4500-B5FA-0A38EC1DCEAE}"/>
            </a:ext>
          </a:extLst>
        </xdr:cNvPr>
        <xdr:cNvSpPr/>
      </xdr:nvSpPr>
      <xdr:spPr>
        <a:xfrm>
          <a:off x="4775200" y="72103"/>
          <a:ext cx="2064774" cy="917678"/>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D44381-6E3A-4706-B540-6772488F234E}" type="TxLink">
            <a:rPr lang="en-US" sz="2400" b="1" i="0" u="none" strike="noStrike">
              <a:solidFill>
                <a:srgbClr val="000000"/>
              </a:solidFill>
              <a:latin typeface="Aptos Narrow"/>
            </a:rPr>
            <a:pPr algn="ctr"/>
            <a:t>300</a:t>
          </a:fld>
          <a:endParaRPr lang="en-IN" sz="2400" b="1"/>
        </a:p>
      </xdr:txBody>
    </xdr:sp>
    <xdr:clientData/>
  </xdr:twoCellAnchor>
  <xdr:twoCellAnchor>
    <xdr:from>
      <xdr:col>4</xdr:col>
      <xdr:colOff>319549</xdr:colOff>
      <xdr:row>0</xdr:row>
      <xdr:rowOff>122903</xdr:rowOff>
    </xdr:from>
    <xdr:to>
      <xdr:col>7</xdr:col>
      <xdr:colOff>360516</xdr:colOff>
      <xdr:row>2</xdr:row>
      <xdr:rowOff>163871</xdr:rowOff>
    </xdr:to>
    <xdr:sp macro="" textlink="">
      <xdr:nvSpPr>
        <xdr:cNvPr id="13" name="TextBox 12">
          <a:extLst>
            <a:ext uri="{FF2B5EF4-FFF2-40B4-BE49-F238E27FC236}">
              <a16:creationId xmlns:a16="http://schemas.microsoft.com/office/drawing/2014/main" id="{86EEBD60-2DC1-7668-38A2-DF00B99EFE8A}"/>
            </a:ext>
          </a:extLst>
        </xdr:cNvPr>
        <xdr:cNvSpPr txBox="1"/>
      </xdr:nvSpPr>
      <xdr:spPr>
        <a:xfrm>
          <a:off x="2744839" y="122903"/>
          <a:ext cx="1859935" cy="4506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latin typeface="+mn-lt"/>
              <a:ea typeface="+mn-ea"/>
              <a:cs typeface="+mn-cs"/>
            </a:rPr>
            <a:t>Sum of Quantity</a:t>
          </a:r>
          <a:r>
            <a:rPr lang="en-IN" sz="1800">
              <a:effectLst/>
            </a:rPr>
            <a:t> </a:t>
          </a:r>
          <a:endParaRPr lang="en-IN" sz="1800"/>
        </a:p>
      </xdr:txBody>
    </xdr:sp>
    <xdr:clientData/>
  </xdr:twoCellAnchor>
  <xdr:twoCellAnchor>
    <xdr:from>
      <xdr:col>8</xdr:col>
      <xdr:colOff>32774</xdr:colOff>
      <xdr:row>0</xdr:row>
      <xdr:rowOff>163871</xdr:rowOff>
    </xdr:from>
    <xdr:to>
      <xdr:col>11</xdr:col>
      <xdr:colOff>106517</xdr:colOff>
      <xdr:row>2</xdr:row>
      <xdr:rowOff>172065</xdr:rowOff>
    </xdr:to>
    <xdr:sp macro="" textlink="">
      <xdr:nvSpPr>
        <xdr:cNvPr id="14" name="TextBox 13">
          <a:extLst>
            <a:ext uri="{FF2B5EF4-FFF2-40B4-BE49-F238E27FC236}">
              <a16:creationId xmlns:a16="http://schemas.microsoft.com/office/drawing/2014/main" id="{3A67D956-B2D6-3F2D-E4BF-DF2219EDCC09}"/>
            </a:ext>
          </a:extLst>
        </xdr:cNvPr>
        <xdr:cNvSpPr txBox="1"/>
      </xdr:nvSpPr>
      <xdr:spPr>
        <a:xfrm>
          <a:off x="4883355" y="163871"/>
          <a:ext cx="1892710" cy="41787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latin typeface="+mn-lt"/>
              <a:ea typeface="+mn-ea"/>
              <a:cs typeface="+mn-cs"/>
            </a:rPr>
            <a:t>Count of Category</a:t>
          </a:r>
          <a:r>
            <a:rPr lang="en-IN" sz="1800">
              <a:effectLst/>
            </a:rPr>
            <a:t> </a:t>
          </a:r>
          <a:endParaRPr lang="en-IN" sz="1800"/>
        </a:p>
      </xdr:txBody>
    </xdr:sp>
    <xdr:clientData/>
  </xdr:twoCellAnchor>
  <xdr:twoCellAnchor>
    <xdr:from>
      <xdr:col>4</xdr:col>
      <xdr:colOff>303162</xdr:colOff>
      <xdr:row>6</xdr:row>
      <xdr:rowOff>40967</xdr:rowOff>
    </xdr:from>
    <xdr:to>
      <xdr:col>7</xdr:col>
      <xdr:colOff>352323</xdr:colOff>
      <xdr:row>8</xdr:row>
      <xdr:rowOff>65548</xdr:rowOff>
    </xdr:to>
    <xdr:sp macro="" textlink="">
      <xdr:nvSpPr>
        <xdr:cNvPr id="15" name="TextBox 14">
          <a:extLst>
            <a:ext uri="{FF2B5EF4-FFF2-40B4-BE49-F238E27FC236}">
              <a16:creationId xmlns:a16="http://schemas.microsoft.com/office/drawing/2014/main" id="{2739FAE9-93E6-8A7D-F0B7-D9AB42500B0E}"/>
            </a:ext>
          </a:extLst>
        </xdr:cNvPr>
        <xdr:cNvSpPr txBox="1"/>
      </xdr:nvSpPr>
      <xdr:spPr>
        <a:xfrm>
          <a:off x="2728452" y="1171677"/>
          <a:ext cx="1868129" cy="3850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latin typeface="+mn-lt"/>
              <a:ea typeface="+mn-ea"/>
              <a:cs typeface="+mn-cs"/>
            </a:rPr>
            <a:t>Max of Price</a:t>
          </a:r>
          <a:r>
            <a:rPr lang="en-IN" sz="1800">
              <a:effectLst/>
            </a:rPr>
            <a:t> </a:t>
          </a:r>
          <a:endParaRPr lang="en-IN" sz="1800"/>
        </a:p>
      </xdr:txBody>
    </xdr:sp>
    <xdr:clientData/>
  </xdr:twoCellAnchor>
  <xdr:twoCellAnchor>
    <xdr:from>
      <xdr:col>8</xdr:col>
      <xdr:colOff>24580</xdr:colOff>
      <xdr:row>6</xdr:row>
      <xdr:rowOff>81935</xdr:rowOff>
    </xdr:from>
    <xdr:to>
      <xdr:col>11</xdr:col>
      <xdr:colOff>114710</xdr:colOff>
      <xdr:row>9</xdr:row>
      <xdr:rowOff>0</xdr:rowOff>
    </xdr:to>
    <xdr:sp macro="" textlink="">
      <xdr:nvSpPr>
        <xdr:cNvPr id="16" name="TextBox 15">
          <a:extLst>
            <a:ext uri="{FF2B5EF4-FFF2-40B4-BE49-F238E27FC236}">
              <a16:creationId xmlns:a16="http://schemas.microsoft.com/office/drawing/2014/main" id="{96E84C6E-5CF1-2663-FFA7-83DFFC95BBD0}"/>
            </a:ext>
          </a:extLst>
        </xdr:cNvPr>
        <xdr:cNvSpPr txBox="1"/>
      </xdr:nvSpPr>
      <xdr:spPr>
        <a:xfrm>
          <a:off x="4875161" y="1212645"/>
          <a:ext cx="1909097" cy="45883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mn-lt"/>
              <a:ea typeface="+mn-ea"/>
              <a:cs typeface="+mn-cs"/>
            </a:rPr>
            <a:t>Sum of Total_Amount</a:t>
          </a:r>
          <a:r>
            <a:rPr lang="en-IN" sz="1400">
              <a:effectLst/>
            </a:rPr>
            <a:t> </a:t>
          </a:r>
          <a:endParaRPr lang="en-IN" sz="1400"/>
        </a:p>
      </xdr:txBody>
    </xdr:sp>
    <xdr:clientData/>
  </xdr:twoCellAnchor>
  <xdr:twoCellAnchor>
    <xdr:from>
      <xdr:col>11</xdr:col>
      <xdr:colOff>201398</xdr:colOff>
      <xdr:row>0</xdr:row>
      <xdr:rowOff>48014</xdr:rowOff>
    </xdr:from>
    <xdr:to>
      <xdr:col>18</xdr:col>
      <xdr:colOff>180259</xdr:colOff>
      <xdr:row>15</xdr:row>
      <xdr:rowOff>38182</xdr:rowOff>
    </xdr:to>
    <xdr:graphicFrame macro="">
      <xdr:nvGraphicFramePr>
        <xdr:cNvPr id="18" name="Chart 17">
          <a:extLst>
            <a:ext uri="{FF2B5EF4-FFF2-40B4-BE49-F238E27FC236}">
              <a16:creationId xmlns:a16="http://schemas.microsoft.com/office/drawing/2014/main" id="{6A7D05B0-A37F-4B8A-878C-5C38B312E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217785</xdr:colOff>
      <xdr:row>11</xdr:row>
      <xdr:rowOff>97175</xdr:rowOff>
    </xdr:from>
    <xdr:to>
      <xdr:col>11</xdr:col>
      <xdr:colOff>139291</xdr:colOff>
      <xdr:row>29</xdr:row>
      <xdr:rowOff>98323</xdr:rowOff>
    </xdr:to>
    <xdr:graphicFrame macro="">
      <xdr:nvGraphicFramePr>
        <xdr:cNvPr id="19" name="Chart 18">
          <a:extLst>
            <a:ext uri="{FF2B5EF4-FFF2-40B4-BE49-F238E27FC236}">
              <a16:creationId xmlns:a16="http://schemas.microsoft.com/office/drawing/2014/main" id="{ABCC738E-4505-48E1-A135-9A769E36C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217785</xdr:colOff>
      <xdr:row>0</xdr:row>
      <xdr:rowOff>48015</xdr:rowOff>
    </xdr:from>
    <xdr:to>
      <xdr:col>25</xdr:col>
      <xdr:colOff>24580</xdr:colOff>
      <xdr:row>15</xdr:row>
      <xdr:rowOff>38183</xdr:rowOff>
    </xdr:to>
    <xdr:graphicFrame macro="">
      <xdr:nvGraphicFramePr>
        <xdr:cNvPr id="20" name="Chart 19">
          <a:extLst>
            <a:ext uri="{FF2B5EF4-FFF2-40B4-BE49-F238E27FC236}">
              <a16:creationId xmlns:a16="http://schemas.microsoft.com/office/drawing/2014/main" id="{37DF7331-1F1C-4D1F-88D6-75DDA9EA0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201397</xdr:colOff>
      <xdr:row>15</xdr:row>
      <xdr:rowOff>48014</xdr:rowOff>
    </xdr:from>
    <xdr:to>
      <xdr:col>18</xdr:col>
      <xdr:colOff>163870</xdr:colOff>
      <xdr:row>29</xdr:row>
      <xdr:rowOff>81936</xdr:rowOff>
    </xdr:to>
    <xdr:graphicFrame macro="">
      <xdr:nvGraphicFramePr>
        <xdr:cNvPr id="21" name="Chart 20">
          <a:extLst>
            <a:ext uri="{FF2B5EF4-FFF2-40B4-BE49-F238E27FC236}">
              <a16:creationId xmlns:a16="http://schemas.microsoft.com/office/drawing/2014/main" id="{B2040E15-7404-49F0-9384-117AD8898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193205</xdr:colOff>
      <xdr:row>15</xdr:row>
      <xdr:rowOff>56208</xdr:rowOff>
    </xdr:from>
    <xdr:to>
      <xdr:col>25</xdr:col>
      <xdr:colOff>0</xdr:colOff>
      <xdr:row>29</xdr:row>
      <xdr:rowOff>65549</xdr:rowOff>
    </xdr:to>
    <xdr:graphicFrame macro="">
      <xdr:nvGraphicFramePr>
        <xdr:cNvPr id="22" name="Chart 21">
          <a:extLst>
            <a:ext uri="{FF2B5EF4-FFF2-40B4-BE49-F238E27FC236}">
              <a16:creationId xmlns:a16="http://schemas.microsoft.com/office/drawing/2014/main" id="{727428DF-AE8A-471F-8DD7-0050B2B81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bora" refreshedDate="46108.908808217595" createdVersion="8" refreshedVersion="8" minRefreshableVersion="3" recordCount="300" xr:uid="{70A68679-9353-4C36-AB6E-CFB34DD63FC7}">
  <cacheSource type="worksheet">
    <worksheetSource name="Table1"/>
  </cacheSource>
  <cacheFields count="10">
    <cacheField name="Order_ID" numFmtId="0">
      <sharedItems containsSemiMixedTypes="0" containsString="0" containsNumber="1" containsInteger="1" minValue="1001" maxValue="1300" count="3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Date" numFmtId="14">
      <sharedItems containsSemiMixedTypes="0" containsNonDate="0" containsDate="1" containsString="0" minDate="2026-01-01T00:00:00" maxDate="2026-03-03T00:00:00"/>
    </cacheField>
    <cacheField name="Customer_Name" numFmtId="0">
      <sharedItems/>
    </cacheField>
    <cacheField name="City" numFmtId="0">
      <sharedItems count="11">
        <s v="Pune"/>
        <s v="Ahmedabad"/>
        <s v="Chennai"/>
        <s v="Hyderabad"/>
        <s v="Bangalore"/>
        <s v="Mumbai"/>
        <s v="Delhi"/>
        <s v="Kolkata"/>
        <s v="Lucknow"/>
        <s v="Jaipur"/>
        <s v="Formula1" f="1"/>
      </sharedItems>
    </cacheField>
    <cacheField name="Product" numFmtId="0">
      <sharedItems count="10">
        <s v="Mobile"/>
        <s v="T-shirt"/>
        <s v="Shoes"/>
        <s v="Smartwatch"/>
        <s v="Jeans"/>
        <s v="Laptop"/>
        <s v="Headphones"/>
        <s v="Watch"/>
        <s v="Bag"/>
        <s v="Tablet"/>
      </sharedItems>
    </cacheField>
    <cacheField name="Category" numFmtId="0">
      <sharedItems count="3">
        <s v="Electronics"/>
        <s v="Fashion"/>
        <s v="Accessories"/>
      </sharedItems>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500" maxValue="55000" count="9">
        <n v="15000"/>
        <n v="500"/>
        <n v="2000"/>
        <n v="7000"/>
        <n v="1200"/>
        <n v="55000"/>
        <n v="1500"/>
        <n v="3000"/>
        <n v="20000"/>
      </sharedItems>
    </cacheField>
    <cacheField name="Total_Amount" numFmtId="0">
      <sharedItems containsSemiMixedTypes="0" containsString="0" containsNumber="1" containsInteger="1" minValue="500" maxValue="165000"/>
    </cacheField>
    <cacheField name="Payment_Mode" numFmtId="0">
      <sharedItems count="3">
        <s v="UPI"/>
        <s v="COD"/>
        <s v="Card"/>
      </sharedItems>
    </cacheField>
  </cacheFields>
  <calculatedItems count="1">
    <calculatedItem>
      <pivotArea cacheIndex="1" outline="0" fieldPosition="0">
        <references count="1">
          <reference field="3" count="1">
            <x v="10"/>
          </reference>
        </references>
      </pivotArea>
    </calculatedItem>
  </calculatedItems>
  <extLst>
    <ext xmlns:x14="http://schemas.microsoft.com/office/spreadsheetml/2009/9/main" uri="{725AE2AE-9491-48be-B2B4-4EB974FC3084}">
      <x14:pivotCacheDefinition pivotCacheId="1256362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d v="2026-01-14T00:00:00"/>
    <s v="Customer_1"/>
    <x v="0"/>
    <x v="0"/>
    <x v="0"/>
    <n v="1"/>
    <x v="0"/>
    <n v="15000"/>
    <x v="0"/>
  </r>
  <r>
    <x v="1"/>
    <d v="2026-01-30T00:00:00"/>
    <s v="Customer_2"/>
    <x v="1"/>
    <x v="1"/>
    <x v="1"/>
    <n v="3"/>
    <x v="1"/>
    <n v="1500"/>
    <x v="1"/>
  </r>
  <r>
    <x v="2"/>
    <d v="2026-02-09T00:00:00"/>
    <s v="Customer_3"/>
    <x v="2"/>
    <x v="1"/>
    <x v="1"/>
    <n v="2"/>
    <x v="1"/>
    <n v="1000"/>
    <x v="1"/>
  </r>
  <r>
    <x v="3"/>
    <d v="2026-01-31T00:00:00"/>
    <s v="Customer_4"/>
    <x v="3"/>
    <x v="2"/>
    <x v="1"/>
    <n v="1"/>
    <x v="2"/>
    <n v="2000"/>
    <x v="2"/>
  </r>
  <r>
    <x v="4"/>
    <d v="2026-03-02T00:00:00"/>
    <s v="Customer_5"/>
    <x v="4"/>
    <x v="3"/>
    <x v="0"/>
    <n v="2"/>
    <x v="3"/>
    <n v="14000"/>
    <x v="0"/>
  </r>
  <r>
    <x v="5"/>
    <d v="2026-02-26T00:00:00"/>
    <s v="Customer_6"/>
    <x v="5"/>
    <x v="3"/>
    <x v="0"/>
    <n v="3"/>
    <x v="3"/>
    <n v="21000"/>
    <x v="1"/>
  </r>
  <r>
    <x v="6"/>
    <d v="2026-02-17T00:00:00"/>
    <s v="Customer_7"/>
    <x v="2"/>
    <x v="0"/>
    <x v="0"/>
    <n v="3"/>
    <x v="0"/>
    <n v="45000"/>
    <x v="0"/>
  </r>
  <r>
    <x v="7"/>
    <d v="2026-01-03T00:00:00"/>
    <s v="Customer_8"/>
    <x v="1"/>
    <x v="3"/>
    <x v="0"/>
    <n v="2"/>
    <x v="3"/>
    <n v="14000"/>
    <x v="2"/>
  </r>
  <r>
    <x v="8"/>
    <d v="2026-01-30T00:00:00"/>
    <s v="Customer_9"/>
    <x v="0"/>
    <x v="4"/>
    <x v="1"/>
    <n v="1"/>
    <x v="4"/>
    <n v="1200"/>
    <x v="0"/>
  </r>
  <r>
    <x v="9"/>
    <d v="2026-01-02T00:00:00"/>
    <s v="Customer_10"/>
    <x v="6"/>
    <x v="5"/>
    <x v="0"/>
    <n v="3"/>
    <x v="5"/>
    <n v="165000"/>
    <x v="0"/>
  </r>
  <r>
    <x v="10"/>
    <d v="2026-01-09T00:00:00"/>
    <s v="Customer_11"/>
    <x v="7"/>
    <x v="5"/>
    <x v="0"/>
    <n v="3"/>
    <x v="5"/>
    <n v="165000"/>
    <x v="0"/>
  </r>
  <r>
    <x v="11"/>
    <d v="2026-01-25T00:00:00"/>
    <s v="Customer_12"/>
    <x v="3"/>
    <x v="0"/>
    <x v="0"/>
    <n v="3"/>
    <x v="0"/>
    <n v="45000"/>
    <x v="2"/>
  </r>
  <r>
    <x v="12"/>
    <d v="2026-01-05T00:00:00"/>
    <s v="Customer_13"/>
    <x v="3"/>
    <x v="3"/>
    <x v="0"/>
    <n v="3"/>
    <x v="3"/>
    <n v="21000"/>
    <x v="2"/>
  </r>
  <r>
    <x v="13"/>
    <d v="2026-01-09T00:00:00"/>
    <s v="Customer_14"/>
    <x v="7"/>
    <x v="6"/>
    <x v="0"/>
    <n v="2"/>
    <x v="6"/>
    <n v="3000"/>
    <x v="1"/>
  </r>
  <r>
    <x v="14"/>
    <d v="2026-01-08T00:00:00"/>
    <s v="Customer_15"/>
    <x v="0"/>
    <x v="4"/>
    <x v="1"/>
    <n v="1"/>
    <x v="4"/>
    <n v="1200"/>
    <x v="1"/>
  </r>
  <r>
    <x v="15"/>
    <d v="2026-03-01T00:00:00"/>
    <s v="Customer_16"/>
    <x v="8"/>
    <x v="3"/>
    <x v="0"/>
    <n v="2"/>
    <x v="3"/>
    <n v="14000"/>
    <x v="1"/>
  </r>
  <r>
    <x v="16"/>
    <d v="2026-01-13T00:00:00"/>
    <s v="Customer_17"/>
    <x v="1"/>
    <x v="4"/>
    <x v="1"/>
    <n v="3"/>
    <x v="4"/>
    <n v="3600"/>
    <x v="1"/>
  </r>
  <r>
    <x v="17"/>
    <d v="2026-02-22T00:00:00"/>
    <s v="Customer_18"/>
    <x v="7"/>
    <x v="7"/>
    <x v="2"/>
    <n v="1"/>
    <x v="7"/>
    <n v="3000"/>
    <x v="2"/>
  </r>
  <r>
    <x v="18"/>
    <d v="2026-03-02T00:00:00"/>
    <s v="Customer_19"/>
    <x v="6"/>
    <x v="5"/>
    <x v="0"/>
    <n v="1"/>
    <x v="5"/>
    <n v="55000"/>
    <x v="1"/>
  </r>
  <r>
    <x v="19"/>
    <d v="2026-02-20T00:00:00"/>
    <s v="Customer_20"/>
    <x v="7"/>
    <x v="6"/>
    <x v="0"/>
    <n v="1"/>
    <x v="6"/>
    <n v="1500"/>
    <x v="0"/>
  </r>
  <r>
    <x v="20"/>
    <d v="2026-02-09T00:00:00"/>
    <s v="Customer_21"/>
    <x v="9"/>
    <x v="8"/>
    <x v="2"/>
    <n v="3"/>
    <x v="2"/>
    <n v="6000"/>
    <x v="0"/>
  </r>
  <r>
    <x v="21"/>
    <d v="2026-01-03T00:00:00"/>
    <s v="Customer_22"/>
    <x v="1"/>
    <x v="5"/>
    <x v="0"/>
    <n v="1"/>
    <x v="5"/>
    <n v="55000"/>
    <x v="0"/>
  </r>
  <r>
    <x v="22"/>
    <d v="2026-01-21T00:00:00"/>
    <s v="Customer_23"/>
    <x v="8"/>
    <x v="9"/>
    <x v="0"/>
    <n v="2"/>
    <x v="8"/>
    <n v="40000"/>
    <x v="2"/>
  </r>
  <r>
    <x v="23"/>
    <d v="2026-02-05T00:00:00"/>
    <s v="Customer_24"/>
    <x v="8"/>
    <x v="6"/>
    <x v="0"/>
    <n v="2"/>
    <x v="6"/>
    <n v="3000"/>
    <x v="2"/>
  </r>
  <r>
    <x v="24"/>
    <d v="2026-01-06T00:00:00"/>
    <s v="Customer_25"/>
    <x v="4"/>
    <x v="3"/>
    <x v="0"/>
    <n v="3"/>
    <x v="3"/>
    <n v="21000"/>
    <x v="2"/>
  </r>
  <r>
    <x v="25"/>
    <d v="2026-02-05T00:00:00"/>
    <s v="Customer_26"/>
    <x v="3"/>
    <x v="4"/>
    <x v="1"/>
    <n v="1"/>
    <x v="4"/>
    <n v="1200"/>
    <x v="1"/>
  </r>
  <r>
    <x v="26"/>
    <d v="2026-01-05T00:00:00"/>
    <s v="Customer_27"/>
    <x v="8"/>
    <x v="5"/>
    <x v="0"/>
    <n v="2"/>
    <x v="5"/>
    <n v="110000"/>
    <x v="2"/>
  </r>
  <r>
    <x v="27"/>
    <d v="2026-01-15T00:00:00"/>
    <s v="Customer_28"/>
    <x v="4"/>
    <x v="8"/>
    <x v="2"/>
    <n v="2"/>
    <x v="2"/>
    <n v="4000"/>
    <x v="0"/>
  </r>
  <r>
    <x v="28"/>
    <d v="2026-01-17T00:00:00"/>
    <s v="Customer_29"/>
    <x v="5"/>
    <x v="5"/>
    <x v="0"/>
    <n v="1"/>
    <x v="5"/>
    <n v="55000"/>
    <x v="0"/>
  </r>
  <r>
    <x v="29"/>
    <d v="2026-01-10T00:00:00"/>
    <s v="Customer_30"/>
    <x v="5"/>
    <x v="7"/>
    <x v="2"/>
    <n v="3"/>
    <x v="7"/>
    <n v="9000"/>
    <x v="1"/>
  </r>
  <r>
    <x v="30"/>
    <d v="2026-01-04T00:00:00"/>
    <s v="Customer_31"/>
    <x v="8"/>
    <x v="0"/>
    <x v="0"/>
    <n v="3"/>
    <x v="0"/>
    <n v="45000"/>
    <x v="2"/>
  </r>
  <r>
    <x v="31"/>
    <d v="2026-02-27T00:00:00"/>
    <s v="Customer_32"/>
    <x v="3"/>
    <x v="6"/>
    <x v="0"/>
    <n v="1"/>
    <x v="6"/>
    <n v="1500"/>
    <x v="0"/>
  </r>
  <r>
    <x v="32"/>
    <d v="2026-02-25T00:00:00"/>
    <s v="Customer_33"/>
    <x v="9"/>
    <x v="7"/>
    <x v="2"/>
    <n v="2"/>
    <x v="7"/>
    <n v="6000"/>
    <x v="0"/>
  </r>
  <r>
    <x v="33"/>
    <d v="2026-01-02T00:00:00"/>
    <s v="Customer_34"/>
    <x v="7"/>
    <x v="7"/>
    <x v="2"/>
    <n v="1"/>
    <x v="7"/>
    <n v="3000"/>
    <x v="0"/>
  </r>
  <r>
    <x v="34"/>
    <d v="2026-01-07T00:00:00"/>
    <s v="Customer_35"/>
    <x v="2"/>
    <x v="1"/>
    <x v="1"/>
    <n v="2"/>
    <x v="1"/>
    <n v="1000"/>
    <x v="2"/>
  </r>
  <r>
    <x v="35"/>
    <d v="2026-01-04T00:00:00"/>
    <s v="Customer_36"/>
    <x v="5"/>
    <x v="7"/>
    <x v="2"/>
    <n v="2"/>
    <x v="7"/>
    <n v="6000"/>
    <x v="0"/>
  </r>
  <r>
    <x v="36"/>
    <d v="2026-01-02T00:00:00"/>
    <s v="Customer_37"/>
    <x v="9"/>
    <x v="1"/>
    <x v="1"/>
    <n v="3"/>
    <x v="1"/>
    <n v="1500"/>
    <x v="0"/>
  </r>
  <r>
    <x v="37"/>
    <d v="2026-01-03T00:00:00"/>
    <s v="Customer_38"/>
    <x v="4"/>
    <x v="0"/>
    <x v="0"/>
    <n v="3"/>
    <x v="0"/>
    <n v="45000"/>
    <x v="2"/>
  </r>
  <r>
    <x v="38"/>
    <d v="2026-01-11T00:00:00"/>
    <s v="Customer_39"/>
    <x v="9"/>
    <x v="6"/>
    <x v="0"/>
    <n v="2"/>
    <x v="6"/>
    <n v="3000"/>
    <x v="2"/>
  </r>
  <r>
    <x v="39"/>
    <d v="2026-02-01T00:00:00"/>
    <s v="Customer_40"/>
    <x v="9"/>
    <x v="0"/>
    <x v="0"/>
    <n v="1"/>
    <x v="0"/>
    <n v="15000"/>
    <x v="0"/>
  </r>
  <r>
    <x v="40"/>
    <d v="2026-02-05T00:00:00"/>
    <s v="Customer_41"/>
    <x v="5"/>
    <x v="7"/>
    <x v="2"/>
    <n v="3"/>
    <x v="7"/>
    <n v="9000"/>
    <x v="0"/>
  </r>
  <r>
    <x v="41"/>
    <d v="2026-01-18T00:00:00"/>
    <s v="Customer_42"/>
    <x v="4"/>
    <x v="2"/>
    <x v="1"/>
    <n v="1"/>
    <x v="2"/>
    <n v="2000"/>
    <x v="2"/>
  </r>
  <r>
    <x v="42"/>
    <d v="2026-01-06T00:00:00"/>
    <s v="Customer_43"/>
    <x v="1"/>
    <x v="9"/>
    <x v="0"/>
    <n v="1"/>
    <x v="8"/>
    <n v="20000"/>
    <x v="0"/>
  </r>
  <r>
    <x v="43"/>
    <d v="2026-02-25T00:00:00"/>
    <s v="Customer_44"/>
    <x v="2"/>
    <x v="9"/>
    <x v="0"/>
    <n v="3"/>
    <x v="8"/>
    <n v="60000"/>
    <x v="0"/>
  </r>
  <r>
    <x v="44"/>
    <d v="2026-02-04T00:00:00"/>
    <s v="Customer_45"/>
    <x v="5"/>
    <x v="2"/>
    <x v="1"/>
    <n v="3"/>
    <x v="2"/>
    <n v="6000"/>
    <x v="2"/>
  </r>
  <r>
    <x v="45"/>
    <d v="2026-01-29T00:00:00"/>
    <s v="Customer_46"/>
    <x v="3"/>
    <x v="1"/>
    <x v="1"/>
    <n v="3"/>
    <x v="1"/>
    <n v="1500"/>
    <x v="2"/>
  </r>
  <r>
    <x v="46"/>
    <d v="2026-01-29T00:00:00"/>
    <s v="Customer_47"/>
    <x v="1"/>
    <x v="7"/>
    <x v="2"/>
    <n v="3"/>
    <x v="7"/>
    <n v="9000"/>
    <x v="2"/>
  </r>
  <r>
    <x v="47"/>
    <d v="2026-02-14T00:00:00"/>
    <s v="Customer_48"/>
    <x v="5"/>
    <x v="0"/>
    <x v="0"/>
    <n v="2"/>
    <x v="0"/>
    <n v="30000"/>
    <x v="0"/>
  </r>
  <r>
    <x v="48"/>
    <d v="2026-01-01T00:00:00"/>
    <s v="Customer_49"/>
    <x v="6"/>
    <x v="9"/>
    <x v="0"/>
    <n v="1"/>
    <x v="8"/>
    <n v="20000"/>
    <x v="2"/>
  </r>
  <r>
    <x v="49"/>
    <d v="2026-01-23T00:00:00"/>
    <s v="Customer_50"/>
    <x v="4"/>
    <x v="2"/>
    <x v="1"/>
    <n v="1"/>
    <x v="2"/>
    <n v="2000"/>
    <x v="2"/>
  </r>
  <r>
    <x v="50"/>
    <d v="2026-01-28T00:00:00"/>
    <s v="Customer_51"/>
    <x v="6"/>
    <x v="1"/>
    <x v="1"/>
    <n v="1"/>
    <x v="1"/>
    <n v="500"/>
    <x v="1"/>
  </r>
  <r>
    <x v="51"/>
    <d v="2026-01-07T00:00:00"/>
    <s v="Customer_52"/>
    <x v="5"/>
    <x v="0"/>
    <x v="0"/>
    <n v="1"/>
    <x v="0"/>
    <n v="15000"/>
    <x v="2"/>
  </r>
  <r>
    <x v="52"/>
    <d v="2026-01-05T00:00:00"/>
    <s v="Customer_53"/>
    <x v="1"/>
    <x v="5"/>
    <x v="0"/>
    <n v="3"/>
    <x v="5"/>
    <n v="165000"/>
    <x v="1"/>
  </r>
  <r>
    <x v="53"/>
    <d v="2026-01-11T00:00:00"/>
    <s v="Customer_54"/>
    <x v="9"/>
    <x v="8"/>
    <x v="2"/>
    <n v="3"/>
    <x v="2"/>
    <n v="6000"/>
    <x v="1"/>
  </r>
  <r>
    <x v="54"/>
    <d v="2026-02-27T00:00:00"/>
    <s v="Customer_55"/>
    <x v="3"/>
    <x v="0"/>
    <x v="0"/>
    <n v="2"/>
    <x v="0"/>
    <n v="30000"/>
    <x v="2"/>
  </r>
  <r>
    <x v="55"/>
    <d v="2026-01-15T00:00:00"/>
    <s v="Customer_56"/>
    <x v="6"/>
    <x v="0"/>
    <x v="0"/>
    <n v="2"/>
    <x v="0"/>
    <n v="30000"/>
    <x v="0"/>
  </r>
  <r>
    <x v="56"/>
    <d v="2026-02-10T00:00:00"/>
    <s v="Customer_57"/>
    <x v="9"/>
    <x v="1"/>
    <x v="1"/>
    <n v="3"/>
    <x v="1"/>
    <n v="1500"/>
    <x v="0"/>
  </r>
  <r>
    <x v="57"/>
    <d v="2026-01-07T00:00:00"/>
    <s v="Customer_58"/>
    <x v="9"/>
    <x v="2"/>
    <x v="1"/>
    <n v="2"/>
    <x v="2"/>
    <n v="4000"/>
    <x v="2"/>
  </r>
  <r>
    <x v="58"/>
    <d v="2026-01-09T00:00:00"/>
    <s v="Customer_59"/>
    <x v="3"/>
    <x v="3"/>
    <x v="0"/>
    <n v="3"/>
    <x v="3"/>
    <n v="21000"/>
    <x v="0"/>
  </r>
  <r>
    <x v="59"/>
    <d v="2026-01-10T00:00:00"/>
    <s v="Customer_60"/>
    <x v="3"/>
    <x v="3"/>
    <x v="0"/>
    <n v="2"/>
    <x v="3"/>
    <n v="14000"/>
    <x v="2"/>
  </r>
  <r>
    <x v="60"/>
    <d v="2026-02-22T00:00:00"/>
    <s v="Customer_61"/>
    <x v="4"/>
    <x v="9"/>
    <x v="0"/>
    <n v="3"/>
    <x v="8"/>
    <n v="60000"/>
    <x v="1"/>
  </r>
  <r>
    <x v="61"/>
    <d v="2026-02-16T00:00:00"/>
    <s v="Customer_62"/>
    <x v="7"/>
    <x v="8"/>
    <x v="2"/>
    <n v="3"/>
    <x v="2"/>
    <n v="6000"/>
    <x v="2"/>
  </r>
  <r>
    <x v="62"/>
    <d v="2026-02-20T00:00:00"/>
    <s v="Customer_63"/>
    <x v="9"/>
    <x v="4"/>
    <x v="1"/>
    <n v="1"/>
    <x v="4"/>
    <n v="1200"/>
    <x v="1"/>
  </r>
  <r>
    <x v="63"/>
    <d v="2026-01-21T00:00:00"/>
    <s v="Customer_64"/>
    <x v="5"/>
    <x v="0"/>
    <x v="0"/>
    <n v="2"/>
    <x v="0"/>
    <n v="30000"/>
    <x v="1"/>
  </r>
  <r>
    <x v="64"/>
    <d v="2026-01-03T00:00:00"/>
    <s v="Customer_65"/>
    <x v="7"/>
    <x v="4"/>
    <x v="1"/>
    <n v="3"/>
    <x v="4"/>
    <n v="3600"/>
    <x v="0"/>
  </r>
  <r>
    <x v="65"/>
    <d v="2026-02-25T00:00:00"/>
    <s v="Customer_66"/>
    <x v="0"/>
    <x v="1"/>
    <x v="1"/>
    <n v="3"/>
    <x v="1"/>
    <n v="1500"/>
    <x v="1"/>
  </r>
  <r>
    <x v="66"/>
    <d v="2026-01-13T00:00:00"/>
    <s v="Customer_67"/>
    <x v="7"/>
    <x v="3"/>
    <x v="0"/>
    <n v="2"/>
    <x v="3"/>
    <n v="14000"/>
    <x v="1"/>
  </r>
  <r>
    <x v="67"/>
    <d v="2026-02-22T00:00:00"/>
    <s v="Customer_68"/>
    <x v="5"/>
    <x v="4"/>
    <x v="1"/>
    <n v="1"/>
    <x v="4"/>
    <n v="1200"/>
    <x v="0"/>
  </r>
  <r>
    <x v="68"/>
    <d v="2026-02-09T00:00:00"/>
    <s v="Customer_69"/>
    <x v="2"/>
    <x v="5"/>
    <x v="0"/>
    <n v="3"/>
    <x v="5"/>
    <n v="165000"/>
    <x v="2"/>
  </r>
  <r>
    <x v="69"/>
    <d v="2026-01-13T00:00:00"/>
    <s v="Customer_70"/>
    <x v="7"/>
    <x v="8"/>
    <x v="2"/>
    <n v="3"/>
    <x v="2"/>
    <n v="6000"/>
    <x v="0"/>
  </r>
  <r>
    <x v="70"/>
    <d v="2026-01-14T00:00:00"/>
    <s v="Customer_71"/>
    <x v="2"/>
    <x v="7"/>
    <x v="2"/>
    <n v="2"/>
    <x v="7"/>
    <n v="6000"/>
    <x v="0"/>
  </r>
  <r>
    <x v="71"/>
    <d v="2026-02-01T00:00:00"/>
    <s v="Customer_72"/>
    <x v="3"/>
    <x v="9"/>
    <x v="0"/>
    <n v="2"/>
    <x v="8"/>
    <n v="40000"/>
    <x v="1"/>
  </r>
  <r>
    <x v="72"/>
    <d v="2026-01-17T00:00:00"/>
    <s v="Customer_73"/>
    <x v="3"/>
    <x v="6"/>
    <x v="0"/>
    <n v="1"/>
    <x v="6"/>
    <n v="1500"/>
    <x v="0"/>
  </r>
  <r>
    <x v="73"/>
    <d v="2026-03-02T00:00:00"/>
    <s v="Customer_74"/>
    <x v="1"/>
    <x v="1"/>
    <x v="1"/>
    <n v="3"/>
    <x v="1"/>
    <n v="1500"/>
    <x v="0"/>
  </r>
  <r>
    <x v="74"/>
    <d v="2026-01-31T00:00:00"/>
    <s v="Customer_75"/>
    <x v="0"/>
    <x v="6"/>
    <x v="0"/>
    <n v="3"/>
    <x v="6"/>
    <n v="4500"/>
    <x v="1"/>
  </r>
  <r>
    <x v="75"/>
    <d v="2026-02-03T00:00:00"/>
    <s v="Customer_76"/>
    <x v="9"/>
    <x v="3"/>
    <x v="0"/>
    <n v="3"/>
    <x v="3"/>
    <n v="21000"/>
    <x v="1"/>
  </r>
  <r>
    <x v="76"/>
    <d v="2026-01-02T00:00:00"/>
    <s v="Customer_77"/>
    <x v="8"/>
    <x v="5"/>
    <x v="0"/>
    <n v="1"/>
    <x v="5"/>
    <n v="55000"/>
    <x v="1"/>
  </r>
  <r>
    <x v="77"/>
    <d v="2026-01-07T00:00:00"/>
    <s v="Customer_78"/>
    <x v="2"/>
    <x v="4"/>
    <x v="1"/>
    <n v="3"/>
    <x v="4"/>
    <n v="3600"/>
    <x v="2"/>
  </r>
  <r>
    <x v="78"/>
    <d v="2026-02-25T00:00:00"/>
    <s v="Customer_79"/>
    <x v="4"/>
    <x v="7"/>
    <x v="2"/>
    <n v="1"/>
    <x v="7"/>
    <n v="3000"/>
    <x v="1"/>
  </r>
  <r>
    <x v="79"/>
    <d v="2026-02-21T00:00:00"/>
    <s v="Customer_80"/>
    <x v="8"/>
    <x v="8"/>
    <x v="2"/>
    <n v="2"/>
    <x v="2"/>
    <n v="4000"/>
    <x v="2"/>
  </r>
  <r>
    <x v="80"/>
    <d v="2026-02-27T00:00:00"/>
    <s v="Customer_81"/>
    <x v="9"/>
    <x v="1"/>
    <x v="1"/>
    <n v="2"/>
    <x v="1"/>
    <n v="1000"/>
    <x v="2"/>
  </r>
  <r>
    <x v="81"/>
    <d v="2026-01-26T00:00:00"/>
    <s v="Customer_82"/>
    <x v="8"/>
    <x v="5"/>
    <x v="0"/>
    <n v="2"/>
    <x v="5"/>
    <n v="110000"/>
    <x v="2"/>
  </r>
  <r>
    <x v="82"/>
    <d v="2026-02-22T00:00:00"/>
    <s v="Customer_83"/>
    <x v="4"/>
    <x v="1"/>
    <x v="1"/>
    <n v="3"/>
    <x v="1"/>
    <n v="1500"/>
    <x v="1"/>
  </r>
  <r>
    <x v="83"/>
    <d v="2026-02-19T00:00:00"/>
    <s v="Customer_84"/>
    <x v="3"/>
    <x v="0"/>
    <x v="0"/>
    <n v="3"/>
    <x v="0"/>
    <n v="45000"/>
    <x v="0"/>
  </r>
  <r>
    <x v="84"/>
    <d v="2026-02-11T00:00:00"/>
    <s v="Customer_85"/>
    <x v="7"/>
    <x v="6"/>
    <x v="0"/>
    <n v="2"/>
    <x v="6"/>
    <n v="3000"/>
    <x v="0"/>
  </r>
  <r>
    <x v="85"/>
    <d v="2026-01-01T00:00:00"/>
    <s v="Customer_86"/>
    <x v="4"/>
    <x v="2"/>
    <x v="1"/>
    <n v="2"/>
    <x v="2"/>
    <n v="4000"/>
    <x v="0"/>
  </r>
  <r>
    <x v="86"/>
    <d v="2026-02-22T00:00:00"/>
    <s v="Customer_87"/>
    <x v="2"/>
    <x v="8"/>
    <x v="2"/>
    <n v="3"/>
    <x v="2"/>
    <n v="6000"/>
    <x v="2"/>
  </r>
  <r>
    <x v="87"/>
    <d v="2026-01-22T00:00:00"/>
    <s v="Customer_88"/>
    <x v="2"/>
    <x v="9"/>
    <x v="0"/>
    <n v="2"/>
    <x v="8"/>
    <n v="40000"/>
    <x v="0"/>
  </r>
  <r>
    <x v="88"/>
    <d v="2026-01-20T00:00:00"/>
    <s v="Customer_89"/>
    <x v="1"/>
    <x v="4"/>
    <x v="1"/>
    <n v="1"/>
    <x v="4"/>
    <n v="1200"/>
    <x v="0"/>
  </r>
  <r>
    <x v="89"/>
    <d v="2026-02-02T00:00:00"/>
    <s v="Customer_90"/>
    <x v="4"/>
    <x v="3"/>
    <x v="0"/>
    <n v="1"/>
    <x v="3"/>
    <n v="7000"/>
    <x v="1"/>
  </r>
  <r>
    <x v="90"/>
    <d v="2026-02-04T00:00:00"/>
    <s v="Customer_91"/>
    <x v="6"/>
    <x v="5"/>
    <x v="0"/>
    <n v="2"/>
    <x v="5"/>
    <n v="110000"/>
    <x v="0"/>
  </r>
  <r>
    <x v="91"/>
    <d v="2026-02-10T00:00:00"/>
    <s v="Customer_92"/>
    <x v="4"/>
    <x v="6"/>
    <x v="0"/>
    <n v="1"/>
    <x v="6"/>
    <n v="1500"/>
    <x v="0"/>
  </r>
  <r>
    <x v="92"/>
    <d v="2026-03-02T00:00:00"/>
    <s v="Customer_93"/>
    <x v="5"/>
    <x v="4"/>
    <x v="1"/>
    <n v="1"/>
    <x v="4"/>
    <n v="1200"/>
    <x v="1"/>
  </r>
  <r>
    <x v="93"/>
    <d v="2026-02-20T00:00:00"/>
    <s v="Customer_94"/>
    <x v="4"/>
    <x v="4"/>
    <x v="1"/>
    <n v="1"/>
    <x v="4"/>
    <n v="1200"/>
    <x v="1"/>
  </r>
  <r>
    <x v="94"/>
    <d v="2026-02-02T00:00:00"/>
    <s v="Customer_95"/>
    <x v="1"/>
    <x v="8"/>
    <x v="2"/>
    <n v="3"/>
    <x v="2"/>
    <n v="6000"/>
    <x v="1"/>
  </r>
  <r>
    <x v="95"/>
    <d v="2026-01-30T00:00:00"/>
    <s v="Customer_96"/>
    <x v="5"/>
    <x v="8"/>
    <x v="2"/>
    <n v="3"/>
    <x v="2"/>
    <n v="6000"/>
    <x v="2"/>
  </r>
  <r>
    <x v="96"/>
    <d v="2026-02-01T00:00:00"/>
    <s v="Customer_97"/>
    <x v="0"/>
    <x v="6"/>
    <x v="0"/>
    <n v="2"/>
    <x v="6"/>
    <n v="3000"/>
    <x v="1"/>
  </r>
  <r>
    <x v="97"/>
    <d v="2026-01-05T00:00:00"/>
    <s v="Customer_98"/>
    <x v="1"/>
    <x v="5"/>
    <x v="0"/>
    <n v="2"/>
    <x v="5"/>
    <n v="110000"/>
    <x v="0"/>
  </r>
  <r>
    <x v="98"/>
    <d v="2026-02-20T00:00:00"/>
    <s v="Customer_99"/>
    <x v="2"/>
    <x v="8"/>
    <x v="2"/>
    <n v="2"/>
    <x v="2"/>
    <n v="4000"/>
    <x v="0"/>
  </r>
  <r>
    <x v="99"/>
    <d v="2026-01-17T00:00:00"/>
    <s v="Customer_100"/>
    <x v="9"/>
    <x v="8"/>
    <x v="2"/>
    <n v="3"/>
    <x v="2"/>
    <n v="6000"/>
    <x v="0"/>
  </r>
  <r>
    <x v="100"/>
    <d v="2026-02-08T00:00:00"/>
    <s v="Customer_101"/>
    <x v="5"/>
    <x v="2"/>
    <x v="1"/>
    <n v="2"/>
    <x v="2"/>
    <n v="4000"/>
    <x v="0"/>
  </r>
  <r>
    <x v="101"/>
    <d v="2026-02-06T00:00:00"/>
    <s v="Customer_102"/>
    <x v="8"/>
    <x v="9"/>
    <x v="0"/>
    <n v="2"/>
    <x v="8"/>
    <n v="40000"/>
    <x v="1"/>
  </r>
  <r>
    <x v="102"/>
    <d v="2026-02-10T00:00:00"/>
    <s v="Customer_103"/>
    <x v="2"/>
    <x v="0"/>
    <x v="0"/>
    <n v="2"/>
    <x v="0"/>
    <n v="30000"/>
    <x v="1"/>
  </r>
  <r>
    <x v="103"/>
    <d v="2026-01-30T00:00:00"/>
    <s v="Customer_104"/>
    <x v="7"/>
    <x v="0"/>
    <x v="0"/>
    <n v="1"/>
    <x v="0"/>
    <n v="15000"/>
    <x v="2"/>
  </r>
  <r>
    <x v="104"/>
    <d v="2026-02-01T00:00:00"/>
    <s v="Customer_105"/>
    <x v="8"/>
    <x v="8"/>
    <x v="2"/>
    <n v="1"/>
    <x v="2"/>
    <n v="2000"/>
    <x v="1"/>
  </r>
  <r>
    <x v="105"/>
    <d v="2026-02-05T00:00:00"/>
    <s v="Customer_106"/>
    <x v="8"/>
    <x v="1"/>
    <x v="1"/>
    <n v="3"/>
    <x v="1"/>
    <n v="1500"/>
    <x v="2"/>
  </r>
  <r>
    <x v="106"/>
    <d v="2026-02-17T00:00:00"/>
    <s v="Customer_107"/>
    <x v="4"/>
    <x v="7"/>
    <x v="2"/>
    <n v="3"/>
    <x v="7"/>
    <n v="9000"/>
    <x v="2"/>
  </r>
  <r>
    <x v="107"/>
    <d v="2026-01-10T00:00:00"/>
    <s v="Customer_108"/>
    <x v="1"/>
    <x v="5"/>
    <x v="0"/>
    <n v="3"/>
    <x v="5"/>
    <n v="165000"/>
    <x v="0"/>
  </r>
  <r>
    <x v="108"/>
    <d v="2026-02-13T00:00:00"/>
    <s v="Customer_109"/>
    <x v="4"/>
    <x v="3"/>
    <x v="0"/>
    <n v="3"/>
    <x v="3"/>
    <n v="21000"/>
    <x v="0"/>
  </r>
  <r>
    <x v="109"/>
    <d v="2026-01-12T00:00:00"/>
    <s v="Customer_110"/>
    <x v="5"/>
    <x v="8"/>
    <x v="2"/>
    <n v="1"/>
    <x v="2"/>
    <n v="2000"/>
    <x v="0"/>
  </r>
  <r>
    <x v="110"/>
    <d v="2026-01-23T00:00:00"/>
    <s v="Customer_111"/>
    <x v="9"/>
    <x v="3"/>
    <x v="0"/>
    <n v="1"/>
    <x v="3"/>
    <n v="7000"/>
    <x v="2"/>
  </r>
  <r>
    <x v="111"/>
    <d v="2026-02-26T00:00:00"/>
    <s v="Customer_112"/>
    <x v="3"/>
    <x v="5"/>
    <x v="0"/>
    <n v="3"/>
    <x v="5"/>
    <n v="165000"/>
    <x v="0"/>
  </r>
  <r>
    <x v="112"/>
    <d v="2026-01-16T00:00:00"/>
    <s v="Customer_113"/>
    <x v="9"/>
    <x v="3"/>
    <x v="0"/>
    <n v="2"/>
    <x v="3"/>
    <n v="14000"/>
    <x v="1"/>
  </r>
  <r>
    <x v="113"/>
    <d v="2026-01-18T00:00:00"/>
    <s v="Customer_114"/>
    <x v="1"/>
    <x v="4"/>
    <x v="1"/>
    <n v="1"/>
    <x v="4"/>
    <n v="1200"/>
    <x v="1"/>
  </r>
  <r>
    <x v="114"/>
    <d v="2026-01-16T00:00:00"/>
    <s v="Customer_115"/>
    <x v="0"/>
    <x v="5"/>
    <x v="0"/>
    <n v="3"/>
    <x v="5"/>
    <n v="165000"/>
    <x v="2"/>
  </r>
  <r>
    <x v="115"/>
    <d v="2026-01-23T00:00:00"/>
    <s v="Customer_116"/>
    <x v="4"/>
    <x v="7"/>
    <x v="2"/>
    <n v="3"/>
    <x v="7"/>
    <n v="9000"/>
    <x v="1"/>
  </r>
  <r>
    <x v="116"/>
    <d v="2026-02-23T00:00:00"/>
    <s v="Customer_117"/>
    <x v="1"/>
    <x v="5"/>
    <x v="0"/>
    <n v="1"/>
    <x v="5"/>
    <n v="55000"/>
    <x v="2"/>
  </r>
  <r>
    <x v="117"/>
    <d v="2026-02-26T00:00:00"/>
    <s v="Customer_118"/>
    <x v="2"/>
    <x v="6"/>
    <x v="0"/>
    <n v="1"/>
    <x v="6"/>
    <n v="1500"/>
    <x v="2"/>
  </r>
  <r>
    <x v="118"/>
    <d v="2026-02-23T00:00:00"/>
    <s v="Customer_119"/>
    <x v="6"/>
    <x v="3"/>
    <x v="0"/>
    <n v="2"/>
    <x v="3"/>
    <n v="14000"/>
    <x v="1"/>
  </r>
  <r>
    <x v="119"/>
    <d v="2026-02-13T00:00:00"/>
    <s v="Customer_120"/>
    <x v="6"/>
    <x v="1"/>
    <x v="1"/>
    <n v="3"/>
    <x v="1"/>
    <n v="1500"/>
    <x v="2"/>
  </r>
  <r>
    <x v="120"/>
    <d v="2026-02-05T00:00:00"/>
    <s v="Customer_121"/>
    <x v="2"/>
    <x v="0"/>
    <x v="0"/>
    <n v="1"/>
    <x v="0"/>
    <n v="15000"/>
    <x v="2"/>
  </r>
  <r>
    <x v="121"/>
    <d v="2026-01-04T00:00:00"/>
    <s v="Customer_122"/>
    <x v="4"/>
    <x v="9"/>
    <x v="0"/>
    <n v="2"/>
    <x v="8"/>
    <n v="40000"/>
    <x v="0"/>
  </r>
  <r>
    <x v="122"/>
    <d v="2026-02-17T00:00:00"/>
    <s v="Customer_123"/>
    <x v="7"/>
    <x v="4"/>
    <x v="1"/>
    <n v="1"/>
    <x v="4"/>
    <n v="1200"/>
    <x v="2"/>
  </r>
  <r>
    <x v="123"/>
    <d v="2026-01-09T00:00:00"/>
    <s v="Customer_124"/>
    <x v="0"/>
    <x v="3"/>
    <x v="0"/>
    <n v="2"/>
    <x v="3"/>
    <n v="14000"/>
    <x v="0"/>
  </r>
  <r>
    <x v="124"/>
    <d v="2026-02-20T00:00:00"/>
    <s v="Customer_125"/>
    <x v="5"/>
    <x v="2"/>
    <x v="1"/>
    <n v="3"/>
    <x v="2"/>
    <n v="6000"/>
    <x v="1"/>
  </r>
  <r>
    <x v="125"/>
    <d v="2026-02-16T00:00:00"/>
    <s v="Customer_126"/>
    <x v="1"/>
    <x v="9"/>
    <x v="0"/>
    <n v="2"/>
    <x v="8"/>
    <n v="40000"/>
    <x v="2"/>
  </r>
  <r>
    <x v="126"/>
    <d v="2026-01-28T00:00:00"/>
    <s v="Customer_127"/>
    <x v="2"/>
    <x v="6"/>
    <x v="0"/>
    <n v="2"/>
    <x v="6"/>
    <n v="3000"/>
    <x v="1"/>
  </r>
  <r>
    <x v="127"/>
    <d v="2026-01-21T00:00:00"/>
    <s v="Customer_128"/>
    <x v="3"/>
    <x v="6"/>
    <x v="0"/>
    <n v="3"/>
    <x v="6"/>
    <n v="4500"/>
    <x v="1"/>
  </r>
  <r>
    <x v="128"/>
    <d v="2026-01-18T00:00:00"/>
    <s v="Customer_129"/>
    <x v="7"/>
    <x v="9"/>
    <x v="0"/>
    <n v="3"/>
    <x v="8"/>
    <n v="60000"/>
    <x v="1"/>
  </r>
  <r>
    <x v="129"/>
    <d v="2026-01-26T00:00:00"/>
    <s v="Customer_130"/>
    <x v="6"/>
    <x v="2"/>
    <x v="1"/>
    <n v="2"/>
    <x v="2"/>
    <n v="4000"/>
    <x v="0"/>
  </r>
  <r>
    <x v="130"/>
    <d v="2026-02-19T00:00:00"/>
    <s v="Customer_131"/>
    <x v="3"/>
    <x v="5"/>
    <x v="0"/>
    <n v="3"/>
    <x v="5"/>
    <n v="165000"/>
    <x v="0"/>
  </r>
  <r>
    <x v="131"/>
    <d v="2026-01-01T00:00:00"/>
    <s v="Customer_132"/>
    <x v="8"/>
    <x v="2"/>
    <x v="1"/>
    <n v="2"/>
    <x v="2"/>
    <n v="4000"/>
    <x v="0"/>
  </r>
  <r>
    <x v="132"/>
    <d v="2026-01-30T00:00:00"/>
    <s v="Customer_133"/>
    <x v="8"/>
    <x v="6"/>
    <x v="0"/>
    <n v="2"/>
    <x v="6"/>
    <n v="3000"/>
    <x v="1"/>
  </r>
  <r>
    <x v="133"/>
    <d v="2026-01-12T00:00:00"/>
    <s v="Customer_134"/>
    <x v="7"/>
    <x v="3"/>
    <x v="0"/>
    <n v="2"/>
    <x v="3"/>
    <n v="14000"/>
    <x v="0"/>
  </r>
  <r>
    <x v="134"/>
    <d v="2026-02-24T00:00:00"/>
    <s v="Customer_135"/>
    <x v="2"/>
    <x v="7"/>
    <x v="2"/>
    <n v="1"/>
    <x v="7"/>
    <n v="3000"/>
    <x v="1"/>
  </r>
  <r>
    <x v="135"/>
    <d v="2026-01-31T00:00:00"/>
    <s v="Customer_136"/>
    <x v="8"/>
    <x v="8"/>
    <x v="2"/>
    <n v="3"/>
    <x v="2"/>
    <n v="6000"/>
    <x v="0"/>
  </r>
  <r>
    <x v="136"/>
    <d v="2026-01-27T00:00:00"/>
    <s v="Customer_137"/>
    <x v="3"/>
    <x v="7"/>
    <x v="2"/>
    <n v="1"/>
    <x v="7"/>
    <n v="3000"/>
    <x v="1"/>
  </r>
  <r>
    <x v="137"/>
    <d v="2026-01-26T00:00:00"/>
    <s v="Customer_138"/>
    <x v="2"/>
    <x v="2"/>
    <x v="1"/>
    <n v="2"/>
    <x v="2"/>
    <n v="4000"/>
    <x v="1"/>
  </r>
  <r>
    <x v="138"/>
    <d v="2026-01-22T00:00:00"/>
    <s v="Customer_139"/>
    <x v="1"/>
    <x v="6"/>
    <x v="0"/>
    <n v="1"/>
    <x v="6"/>
    <n v="1500"/>
    <x v="1"/>
  </r>
  <r>
    <x v="139"/>
    <d v="2026-02-22T00:00:00"/>
    <s v="Customer_140"/>
    <x v="4"/>
    <x v="6"/>
    <x v="0"/>
    <n v="2"/>
    <x v="6"/>
    <n v="3000"/>
    <x v="2"/>
  </r>
  <r>
    <x v="140"/>
    <d v="2026-03-01T00:00:00"/>
    <s v="Customer_141"/>
    <x v="2"/>
    <x v="6"/>
    <x v="0"/>
    <n v="3"/>
    <x v="6"/>
    <n v="4500"/>
    <x v="1"/>
  </r>
  <r>
    <x v="141"/>
    <d v="2026-01-09T00:00:00"/>
    <s v="Customer_142"/>
    <x v="7"/>
    <x v="9"/>
    <x v="0"/>
    <n v="2"/>
    <x v="8"/>
    <n v="40000"/>
    <x v="0"/>
  </r>
  <r>
    <x v="142"/>
    <d v="2026-01-27T00:00:00"/>
    <s v="Customer_143"/>
    <x v="2"/>
    <x v="5"/>
    <x v="0"/>
    <n v="1"/>
    <x v="5"/>
    <n v="55000"/>
    <x v="2"/>
  </r>
  <r>
    <x v="143"/>
    <d v="2026-01-16T00:00:00"/>
    <s v="Customer_144"/>
    <x v="5"/>
    <x v="1"/>
    <x v="1"/>
    <n v="3"/>
    <x v="1"/>
    <n v="1500"/>
    <x v="2"/>
  </r>
  <r>
    <x v="144"/>
    <d v="2026-01-07T00:00:00"/>
    <s v="Customer_145"/>
    <x v="4"/>
    <x v="6"/>
    <x v="0"/>
    <n v="2"/>
    <x v="6"/>
    <n v="3000"/>
    <x v="0"/>
  </r>
  <r>
    <x v="145"/>
    <d v="2026-01-04T00:00:00"/>
    <s v="Customer_146"/>
    <x v="4"/>
    <x v="7"/>
    <x v="2"/>
    <n v="1"/>
    <x v="7"/>
    <n v="3000"/>
    <x v="0"/>
  </r>
  <r>
    <x v="146"/>
    <d v="2026-02-01T00:00:00"/>
    <s v="Customer_147"/>
    <x v="0"/>
    <x v="4"/>
    <x v="1"/>
    <n v="2"/>
    <x v="4"/>
    <n v="2400"/>
    <x v="2"/>
  </r>
  <r>
    <x v="147"/>
    <d v="2026-02-15T00:00:00"/>
    <s v="Customer_148"/>
    <x v="2"/>
    <x v="1"/>
    <x v="1"/>
    <n v="1"/>
    <x v="1"/>
    <n v="500"/>
    <x v="1"/>
  </r>
  <r>
    <x v="148"/>
    <d v="2026-01-06T00:00:00"/>
    <s v="Customer_149"/>
    <x v="0"/>
    <x v="3"/>
    <x v="0"/>
    <n v="1"/>
    <x v="3"/>
    <n v="7000"/>
    <x v="2"/>
  </r>
  <r>
    <x v="149"/>
    <d v="2026-01-26T00:00:00"/>
    <s v="Customer_150"/>
    <x v="8"/>
    <x v="4"/>
    <x v="1"/>
    <n v="3"/>
    <x v="4"/>
    <n v="3600"/>
    <x v="2"/>
  </r>
  <r>
    <x v="150"/>
    <d v="2026-03-01T00:00:00"/>
    <s v="Customer_151"/>
    <x v="0"/>
    <x v="4"/>
    <x v="1"/>
    <n v="1"/>
    <x v="4"/>
    <n v="1200"/>
    <x v="2"/>
  </r>
  <r>
    <x v="151"/>
    <d v="2026-01-11T00:00:00"/>
    <s v="Customer_152"/>
    <x v="0"/>
    <x v="0"/>
    <x v="0"/>
    <n v="3"/>
    <x v="0"/>
    <n v="45000"/>
    <x v="1"/>
  </r>
  <r>
    <x v="152"/>
    <d v="2026-02-16T00:00:00"/>
    <s v="Customer_153"/>
    <x v="7"/>
    <x v="8"/>
    <x v="2"/>
    <n v="1"/>
    <x v="2"/>
    <n v="2000"/>
    <x v="2"/>
  </r>
  <r>
    <x v="153"/>
    <d v="2026-02-03T00:00:00"/>
    <s v="Customer_154"/>
    <x v="0"/>
    <x v="0"/>
    <x v="0"/>
    <n v="1"/>
    <x v="0"/>
    <n v="15000"/>
    <x v="2"/>
  </r>
  <r>
    <x v="154"/>
    <d v="2026-02-01T00:00:00"/>
    <s v="Customer_155"/>
    <x v="7"/>
    <x v="2"/>
    <x v="1"/>
    <n v="3"/>
    <x v="2"/>
    <n v="6000"/>
    <x v="1"/>
  </r>
  <r>
    <x v="155"/>
    <d v="2026-02-20T00:00:00"/>
    <s v="Customer_156"/>
    <x v="8"/>
    <x v="3"/>
    <x v="0"/>
    <n v="3"/>
    <x v="3"/>
    <n v="21000"/>
    <x v="0"/>
  </r>
  <r>
    <x v="156"/>
    <d v="2026-02-03T00:00:00"/>
    <s v="Customer_157"/>
    <x v="4"/>
    <x v="9"/>
    <x v="0"/>
    <n v="2"/>
    <x v="8"/>
    <n v="40000"/>
    <x v="1"/>
  </r>
  <r>
    <x v="157"/>
    <d v="2026-01-07T00:00:00"/>
    <s v="Customer_158"/>
    <x v="7"/>
    <x v="0"/>
    <x v="0"/>
    <n v="2"/>
    <x v="0"/>
    <n v="30000"/>
    <x v="2"/>
  </r>
  <r>
    <x v="158"/>
    <d v="2026-01-30T00:00:00"/>
    <s v="Customer_159"/>
    <x v="3"/>
    <x v="9"/>
    <x v="0"/>
    <n v="2"/>
    <x v="8"/>
    <n v="40000"/>
    <x v="2"/>
  </r>
  <r>
    <x v="159"/>
    <d v="2026-02-27T00:00:00"/>
    <s v="Customer_160"/>
    <x v="3"/>
    <x v="9"/>
    <x v="0"/>
    <n v="1"/>
    <x v="8"/>
    <n v="20000"/>
    <x v="2"/>
  </r>
  <r>
    <x v="160"/>
    <d v="2026-02-12T00:00:00"/>
    <s v="Customer_161"/>
    <x v="9"/>
    <x v="4"/>
    <x v="1"/>
    <n v="3"/>
    <x v="4"/>
    <n v="3600"/>
    <x v="1"/>
  </r>
  <r>
    <x v="161"/>
    <d v="2026-01-17T00:00:00"/>
    <s v="Customer_162"/>
    <x v="7"/>
    <x v="7"/>
    <x v="2"/>
    <n v="2"/>
    <x v="7"/>
    <n v="6000"/>
    <x v="0"/>
  </r>
  <r>
    <x v="162"/>
    <d v="2026-02-11T00:00:00"/>
    <s v="Customer_163"/>
    <x v="2"/>
    <x v="6"/>
    <x v="0"/>
    <n v="2"/>
    <x v="6"/>
    <n v="3000"/>
    <x v="0"/>
  </r>
  <r>
    <x v="163"/>
    <d v="2026-01-17T00:00:00"/>
    <s v="Customer_164"/>
    <x v="7"/>
    <x v="3"/>
    <x v="0"/>
    <n v="1"/>
    <x v="3"/>
    <n v="7000"/>
    <x v="0"/>
  </r>
  <r>
    <x v="164"/>
    <d v="2026-01-16T00:00:00"/>
    <s v="Customer_165"/>
    <x v="6"/>
    <x v="5"/>
    <x v="0"/>
    <n v="3"/>
    <x v="5"/>
    <n v="165000"/>
    <x v="0"/>
  </r>
  <r>
    <x v="165"/>
    <d v="2026-02-18T00:00:00"/>
    <s v="Customer_166"/>
    <x v="2"/>
    <x v="2"/>
    <x v="1"/>
    <n v="1"/>
    <x v="2"/>
    <n v="2000"/>
    <x v="0"/>
  </r>
  <r>
    <x v="166"/>
    <d v="2026-02-25T00:00:00"/>
    <s v="Customer_167"/>
    <x v="2"/>
    <x v="3"/>
    <x v="0"/>
    <n v="2"/>
    <x v="3"/>
    <n v="14000"/>
    <x v="1"/>
  </r>
  <r>
    <x v="167"/>
    <d v="2026-01-20T00:00:00"/>
    <s v="Customer_168"/>
    <x v="9"/>
    <x v="8"/>
    <x v="2"/>
    <n v="1"/>
    <x v="2"/>
    <n v="2000"/>
    <x v="0"/>
  </r>
  <r>
    <x v="168"/>
    <d v="2026-01-31T00:00:00"/>
    <s v="Customer_169"/>
    <x v="3"/>
    <x v="8"/>
    <x v="2"/>
    <n v="2"/>
    <x v="2"/>
    <n v="4000"/>
    <x v="1"/>
  </r>
  <r>
    <x v="169"/>
    <d v="2026-01-18T00:00:00"/>
    <s v="Customer_170"/>
    <x v="0"/>
    <x v="5"/>
    <x v="0"/>
    <n v="2"/>
    <x v="5"/>
    <n v="110000"/>
    <x v="1"/>
  </r>
  <r>
    <x v="170"/>
    <d v="2026-01-29T00:00:00"/>
    <s v="Customer_171"/>
    <x v="9"/>
    <x v="0"/>
    <x v="0"/>
    <n v="2"/>
    <x v="0"/>
    <n v="30000"/>
    <x v="2"/>
  </r>
  <r>
    <x v="171"/>
    <d v="2026-01-16T00:00:00"/>
    <s v="Customer_172"/>
    <x v="8"/>
    <x v="1"/>
    <x v="1"/>
    <n v="3"/>
    <x v="1"/>
    <n v="1500"/>
    <x v="0"/>
  </r>
  <r>
    <x v="172"/>
    <d v="2026-02-22T00:00:00"/>
    <s v="Customer_173"/>
    <x v="6"/>
    <x v="7"/>
    <x v="2"/>
    <n v="3"/>
    <x v="7"/>
    <n v="9000"/>
    <x v="2"/>
  </r>
  <r>
    <x v="173"/>
    <d v="2026-01-30T00:00:00"/>
    <s v="Customer_174"/>
    <x v="0"/>
    <x v="6"/>
    <x v="0"/>
    <n v="3"/>
    <x v="6"/>
    <n v="4500"/>
    <x v="1"/>
  </r>
  <r>
    <x v="174"/>
    <d v="2026-02-07T00:00:00"/>
    <s v="Customer_175"/>
    <x v="4"/>
    <x v="1"/>
    <x v="1"/>
    <n v="3"/>
    <x v="1"/>
    <n v="1500"/>
    <x v="2"/>
  </r>
  <r>
    <x v="175"/>
    <d v="2026-02-22T00:00:00"/>
    <s v="Customer_176"/>
    <x v="0"/>
    <x v="0"/>
    <x v="0"/>
    <n v="2"/>
    <x v="0"/>
    <n v="30000"/>
    <x v="0"/>
  </r>
  <r>
    <x v="176"/>
    <d v="2026-02-12T00:00:00"/>
    <s v="Customer_177"/>
    <x v="7"/>
    <x v="6"/>
    <x v="0"/>
    <n v="2"/>
    <x v="6"/>
    <n v="3000"/>
    <x v="1"/>
  </r>
  <r>
    <x v="177"/>
    <d v="2026-01-28T00:00:00"/>
    <s v="Customer_178"/>
    <x v="2"/>
    <x v="9"/>
    <x v="0"/>
    <n v="3"/>
    <x v="8"/>
    <n v="60000"/>
    <x v="0"/>
  </r>
  <r>
    <x v="178"/>
    <d v="2026-02-28T00:00:00"/>
    <s v="Customer_179"/>
    <x v="8"/>
    <x v="2"/>
    <x v="1"/>
    <n v="3"/>
    <x v="2"/>
    <n v="6000"/>
    <x v="0"/>
  </r>
  <r>
    <x v="179"/>
    <d v="2026-02-09T00:00:00"/>
    <s v="Customer_180"/>
    <x v="9"/>
    <x v="1"/>
    <x v="1"/>
    <n v="1"/>
    <x v="1"/>
    <n v="500"/>
    <x v="0"/>
  </r>
  <r>
    <x v="180"/>
    <d v="2026-02-12T00:00:00"/>
    <s v="Customer_181"/>
    <x v="9"/>
    <x v="9"/>
    <x v="0"/>
    <n v="1"/>
    <x v="8"/>
    <n v="20000"/>
    <x v="0"/>
  </r>
  <r>
    <x v="181"/>
    <d v="2026-01-15T00:00:00"/>
    <s v="Customer_182"/>
    <x v="8"/>
    <x v="8"/>
    <x v="2"/>
    <n v="3"/>
    <x v="2"/>
    <n v="6000"/>
    <x v="0"/>
  </r>
  <r>
    <x v="182"/>
    <d v="2026-02-14T00:00:00"/>
    <s v="Customer_183"/>
    <x v="4"/>
    <x v="6"/>
    <x v="0"/>
    <n v="3"/>
    <x v="6"/>
    <n v="4500"/>
    <x v="1"/>
  </r>
  <r>
    <x v="183"/>
    <d v="2026-01-22T00:00:00"/>
    <s v="Customer_184"/>
    <x v="2"/>
    <x v="5"/>
    <x v="0"/>
    <n v="2"/>
    <x v="5"/>
    <n v="110000"/>
    <x v="1"/>
  </r>
  <r>
    <x v="184"/>
    <d v="2026-01-10T00:00:00"/>
    <s v="Customer_185"/>
    <x v="6"/>
    <x v="4"/>
    <x v="1"/>
    <n v="1"/>
    <x v="4"/>
    <n v="1200"/>
    <x v="0"/>
  </r>
  <r>
    <x v="185"/>
    <d v="2026-02-25T00:00:00"/>
    <s v="Customer_186"/>
    <x v="9"/>
    <x v="4"/>
    <x v="1"/>
    <n v="3"/>
    <x v="4"/>
    <n v="3600"/>
    <x v="0"/>
  </r>
  <r>
    <x v="186"/>
    <d v="2026-01-20T00:00:00"/>
    <s v="Customer_187"/>
    <x v="4"/>
    <x v="5"/>
    <x v="0"/>
    <n v="1"/>
    <x v="5"/>
    <n v="55000"/>
    <x v="0"/>
  </r>
  <r>
    <x v="187"/>
    <d v="2026-02-22T00:00:00"/>
    <s v="Customer_188"/>
    <x v="1"/>
    <x v="9"/>
    <x v="0"/>
    <n v="1"/>
    <x v="8"/>
    <n v="20000"/>
    <x v="1"/>
  </r>
  <r>
    <x v="188"/>
    <d v="2026-01-12T00:00:00"/>
    <s v="Customer_189"/>
    <x v="0"/>
    <x v="7"/>
    <x v="2"/>
    <n v="1"/>
    <x v="7"/>
    <n v="3000"/>
    <x v="2"/>
  </r>
  <r>
    <x v="189"/>
    <d v="2026-02-10T00:00:00"/>
    <s v="Customer_190"/>
    <x v="1"/>
    <x v="8"/>
    <x v="2"/>
    <n v="1"/>
    <x v="2"/>
    <n v="2000"/>
    <x v="0"/>
  </r>
  <r>
    <x v="190"/>
    <d v="2026-01-22T00:00:00"/>
    <s v="Customer_191"/>
    <x v="7"/>
    <x v="0"/>
    <x v="0"/>
    <n v="2"/>
    <x v="0"/>
    <n v="30000"/>
    <x v="1"/>
  </r>
  <r>
    <x v="191"/>
    <d v="2026-01-23T00:00:00"/>
    <s v="Customer_192"/>
    <x v="4"/>
    <x v="3"/>
    <x v="0"/>
    <n v="2"/>
    <x v="3"/>
    <n v="14000"/>
    <x v="2"/>
  </r>
  <r>
    <x v="192"/>
    <d v="2026-01-12T00:00:00"/>
    <s v="Customer_193"/>
    <x v="4"/>
    <x v="2"/>
    <x v="1"/>
    <n v="3"/>
    <x v="2"/>
    <n v="6000"/>
    <x v="1"/>
  </r>
  <r>
    <x v="193"/>
    <d v="2026-01-06T00:00:00"/>
    <s v="Customer_194"/>
    <x v="8"/>
    <x v="8"/>
    <x v="2"/>
    <n v="2"/>
    <x v="2"/>
    <n v="4000"/>
    <x v="1"/>
  </r>
  <r>
    <x v="194"/>
    <d v="2026-02-10T00:00:00"/>
    <s v="Customer_195"/>
    <x v="7"/>
    <x v="0"/>
    <x v="0"/>
    <n v="2"/>
    <x v="0"/>
    <n v="30000"/>
    <x v="1"/>
  </r>
  <r>
    <x v="195"/>
    <d v="2026-01-07T00:00:00"/>
    <s v="Customer_196"/>
    <x v="2"/>
    <x v="2"/>
    <x v="1"/>
    <n v="2"/>
    <x v="2"/>
    <n v="4000"/>
    <x v="2"/>
  </r>
  <r>
    <x v="196"/>
    <d v="2026-02-26T00:00:00"/>
    <s v="Customer_197"/>
    <x v="8"/>
    <x v="7"/>
    <x v="2"/>
    <n v="3"/>
    <x v="7"/>
    <n v="9000"/>
    <x v="0"/>
  </r>
  <r>
    <x v="197"/>
    <d v="2026-01-24T00:00:00"/>
    <s v="Customer_198"/>
    <x v="0"/>
    <x v="4"/>
    <x v="1"/>
    <n v="2"/>
    <x v="4"/>
    <n v="2400"/>
    <x v="2"/>
  </r>
  <r>
    <x v="198"/>
    <d v="2026-01-22T00:00:00"/>
    <s v="Customer_199"/>
    <x v="6"/>
    <x v="7"/>
    <x v="2"/>
    <n v="3"/>
    <x v="7"/>
    <n v="9000"/>
    <x v="2"/>
  </r>
  <r>
    <x v="199"/>
    <d v="2026-01-04T00:00:00"/>
    <s v="Customer_200"/>
    <x v="7"/>
    <x v="9"/>
    <x v="0"/>
    <n v="3"/>
    <x v="8"/>
    <n v="60000"/>
    <x v="0"/>
  </r>
  <r>
    <x v="200"/>
    <d v="2026-02-22T00:00:00"/>
    <s v="Customer_201"/>
    <x v="2"/>
    <x v="6"/>
    <x v="0"/>
    <n v="3"/>
    <x v="6"/>
    <n v="4500"/>
    <x v="2"/>
  </r>
  <r>
    <x v="201"/>
    <d v="2026-02-06T00:00:00"/>
    <s v="Customer_202"/>
    <x v="5"/>
    <x v="2"/>
    <x v="1"/>
    <n v="1"/>
    <x v="2"/>
    <n v="2000"/>
    <x v="2"/>
  </r>
  <r>
    <x v="202"/>
    <d v="2026-01-27T00:00:00"/>
    <s v="Customer_203"/>
    <x v="3"/>
    <x v="5"/>
    <x v="0"/>
    <n v="2"/>
    <x v="5"/>
    <n v="110000"/>
    <x v="1"/>
  </r>
  <r>
    <x v="203"/>
    <d v="2026-02-18T00:00:00"/>
    <s v="Customer_204"/>
    <x v="0"/>
    <x v="2"/>
    <x v="1"/>
    <n v="3"/>
    <x v="2"/>
    <n v="6000"/>
    <x v="2"/>
  </r>
  <r>
    <x v="204"/>
    <d v="2026-01-26T00:00:00"/>
    <s v="Customer_205"/>
    <x v="8"/>
    <x v="0"/>
    <x v="0"/>
    <n v="2"/>
    <x v="0"/>
    <n v="30000"/>
    <x v="2"/>
  </r>
  <r>
    <x v="205"/>
    <d v="2026-02-22T00:00:00"/>
    <s v="Customer_206"/>
    <x v="2"/>
    <x v="4"/>
    <x v="1"/>
    <n v="1"/>
    <x v="4"/>
    <n v="1200"/>
    <x v="2"/>
  </r>
  <r>
    <x v="206"/>
    <d v="2026-01-04T00:00:00"/>
    <s v="Customer_207"/>
    <x v="9"/>
    <x v="8"/>
    <x v="2"/>
    <n v="3"/>
    <x v="2"/>
    <n v="6000"/>
    <x v="0"/>
  </r>
  <r>
    <x v="207"/>
    <d v="2026-01-25T00:00:00"/>
    <s v="Customer_208"/>
    <x v="6"/>
    <x v="1"/>
    <x v="1"/>
    <n v="2"/>
    <x v="1"/>
    <n v="1000"/>
    <x v="1"/>
  </r>
  <r>
    <x v="208"/>
    <d v="2026-01-26T00:00:00"/>
    <s v="Customer_209"/>
    <x v="9"/>
    <x v="9"/>
    <x v="0"/>
    <n v="1"/>
    <x v="8"/>
    <n v="20000"/>
    <x v="1"/>
  </r>
  <r>
    <x v="209"/>
    <d v="2026-01-11T00:00:00"/>
    <s v="Customer_210"/>
    <x v="2"/>
    <x v="9"/>
    <x v="0"/>
    <n v="1"/>
    <x v="8"/>
    <n v="20000"/>
    <x v="0"/>
  </r>
  <r>
    <x v="210"/>
    <d v="2026-01-07T00:00:00"/>
    <s v="Customer_211"/>
    <x v="0"/>
    <x v="3"/>
    <x v="0"/>
    <n v="3"/>
    <x v="3"/>
    <n v="21000"/>
    <x v="1"/>
  </r>
  <r>
    <x v="211"/>
    <d v="2026-01-13T00:00:00"/>
    <s v="Customer_212"/>
    <x v="4"/>
    <x v="8"/>
    <x v="2"/>
    <n v="1"/>
    <x v="2"/>
    <n v="2000"/>
    <x v="2"/>
  </r>
  <r>
    <x v="212"/>
    <d v="2026-01-28T00:00:00"/>
    <s v="Customer_213"/>
    <x v="3"/>
    <x v="1"/>
    <x v="1"/>
    <n v="1"/>
    <x v="1"/>
    <n v="500"/>
    <x v="0"/>
  </r>
  <r>
    <x v="213"/>
    <d v="2026-01-25T00:00:00"/>
    <s v="Customer_214"/>
    <x v="2"/>
    <x v="3"/>
    <x v="0"/>
    <n v="1"/>
    <x v="3"/>
    <n v="7000"/>
    <x v="0"/>
  </r>
  <r>
    <x v="214"/>
    <d v="2026-02-17T00:00:00"/>
    <s v="Customer_215"/>
    <x v="5"/>
    <x v="8"/>
    <x v="2"/>
    <n v="1"/>
    <x v="2"/>
    <n v="2000"/>
    <x v="2"/>
  </r>
  <r>
    <x v="215"/>
    <d v="2026-01-16T00:00:00"/>
    <s v="Customer_216"/>
    <x v="1"/>
    <x v="4"/>
    <x v="1"/>
    <n v="1"/>
    <x v="4"/>
    <n v="1200"/>
    <x v="0"/>
  </r>
  <r>
    <x v="216"/>
    <d v="2026-02-10T00:00:00"/>
    <s v="Customer_217"/>
    <x v="1"/>
    <x v="5"/>
    <x v="0"/>
    <n v="2"/>
    <x v="5"/>
    <n v="110000"/>
    <x v="1"/>
  </r>
  <r>
    <x v="217"/>
    <d v="2026-03-02T00:00:00"/>
    <s v="Customer_218"/>
    <x v="7"/>
    <x v="4"/>
    <x v="1"/>
    <n v="2"/>
    <x v="4"/>
    <n v="2400"/>
    <x v="1"/>
  </r>
  <r>
    <x v="218"/>
    <d v="2026-02-05T00:00:00"/>
    <s v="Customer_219"/>
    <x v="4"/>
    <x v="9"/>
    <x v="0"/>
    <n v="3"/>
    <x v="8"/>
    <n v="60000"/>
    <x v="0"/>
  </r>
  <r>
    <x v="219"/>
    <d v="2026-02-10T00:00:00"/>
    <s v="Customer_220"/>
    <x v="1"/>
    <x v="9"/>
    <x v="0"/>
    <n v="2"/>
    <x v="8"/>
    <n v="40000"/>
    <x v="2"/>
  </r>
  <r>
    <x v="220"/>
    <d v="2026-02-27T00:00:00"/>
    <s v="Customer_221"/>
    <x v="0"/>
    <x v="2"/>
    <x v="1"/>
    <n v="3"/>
    <x v="2"/>
    <n v="6000"/>
    <x v="2"/>
  </r>
  <r>
    <x v="221"/>
    <d v="2026-02-28T00:00:00"/>
    <s v="Customer_222"/>
    <x v="2"/>
    <x v="4"/>
    <x v="1"/>
    <n v="3"/>
    <x v="4"/>
    <n v="3600"/>
    <x v="0"/>
  </r>
  <r>
    <x v="222"/>
    <d v="2026-02-08T00:00:00"/>
    <s v="Customer_223"/>
    <x v="2"/>
    <x v="1"/>
    <x v="1"/>
    <n v="2"/>
    <x v="1"/>
    <n v="1000"/>
    <x v="2"/>
  </r>
  <r>
    <x v="223"/>
    <d v="2026-03-01T00:00:00"/>
    <s v="Customer_224"/>
    <x v="1"/>
    <x v="3"/>
    <x v="0"/>
    <n v="1"/>
    <x v="3"/>
    <n v="7000"/>
    <x v="0"/>
  </r>
  <r>
    <x v="224"/>
    <d v="2026-02-09T00:00:00"/>
    <s v="Customer_225"/>
    <x v="1"/>
    <x v="2"/>
    <x v="1"/>
    <n v="3"/>
    <x v="2"/>
    <n v="6000"/>
    <x v="2"/>
  </r>
  <r>
    <x v="225"/>
    <d v="2026-02-07T00:00:00"/>
    <s v="Customer_226"/>
    <x v="3"/>
    <x v="5"/>
    <x v="0"/>
    <n v="3"/>
    <x v="5"/>
    <n v="165000"/>
    <x v="1"/>
  </r>
  <r>
    <x v="226"/>
    <d v="2026-01-29T00:00:00"/>
    <s v="Customer_227"/>
    <x v="2"/>
    <x v="3"/>
    <x v="0"/>
    <n v="1"/>
    <x v="3"/>
    <n v="7000"/>
    <x v="2"/>
  </r>
  <r>
    <x v="227"/>
    <d v="2026-02-17T00:00:00"/>
    <s v="Customer_228"/>
    <x v="6"/>
    <x v="8"/>
    <x v="2"/>
    <n v="1"/>
    <x v="2"/>
    <n v="2000"/>
    <x v="2"/>
  </r>
  <r>
    <x v="228"/>
    <d v="2026-01-25T00:00:00"/>
    <s v="Customer_229"/>
    <x v="2"/>
    <x v="6"/>
    <x v="0"/>
    <n v="1"/>
    <x v="6"/>
    <n v="1500"/>
    <x v="0"/>
  </r>
  <r>
    <x v="229"/>
    <d v="2026-02-11T00:00:00"/>
    <s v="Customer_230"/>
    <x v="3"/>
    <x v="3"/>
    <x v="0"/>
    <n v="3"/>
    <x v="3"/>
    <n v="21000"/>
    <x v="2"/>
  </r>
  <r>
    <x v="230"/>
    <d v="2026-02-20T00:00:00"/>
    <s v="Customer_231"/>
    <x v="7"/>
    <x v="7"/>
    <x v="2"/>
    <n v="2"/>
    <x v="7"/>
    <n v="6000"/>
    <x v="0"/>
  </r>
  <r>
    <x v="231"/>
    <d v="2026-02-14T00:00:00"/>
    <s v="Customer_232"/>
    <x v="4"/>
    <x v="3"/>
    <x v="0"/>
    <n v="3"/>
    <x v="3"/>
    <n v="21000"/>
    <x v="0"/>
  </r>
  <r>
    <x v="232"/>
    <d v="2026-02-22T00:00:00"/>
    <s v="Customer_233"/>
    <x v="9"/>
    <x v="9"/>
    <x v="0"/>
    <n v="2"/>
    <x v="8"/>
    <n v="40000"/>
    <x v="2"/>
  </r>
  <r>
    <x v="233"/>
    <d v="2026-02-01T00:00:00"/>
    <s v="Customer_234"/>
    <x v="5"/>
    <x v="7"/>
    <x v="2"/>
    <n v="1"/>
    <x v="7"/>
    <n v="3000"/>
    <x v="2"/>
  </r>
  <r>
    <x v="234"/>
    <d v="2026-02-01T00:00:00"/>
    <s v="Customer_235"/>
    <x v="4"/>
    <x v="0"/>
    <x v="0"/>
    <n v="1"/>
    <x v="0"/>
    <n v="15000"/>
    <x v="2"/>
  </r>
  <r>
    <x v="235"/>
    <d v="2026-03-01T00:00:00"/>
    <s v="Customer_236"/>
    <x v="8"/>
    <x v="3"/>
    <x v="0"/>
    <n v="2"/>
    <x v="3"/>
    <n v="14000"/>
    <x v="2"/>
  </r>
  <r>
    <x v="236"/>
    <d v="2026-02-22T00:00:00"/>
    <s v="Customer_237"/>
    <x v="6"/>
    <x v="8"/>
    <x v="2"/>
    <n v="2"/>
    <x v="2"/>
    <n v="4000"/>
    <x v="2"/>
  </r>
  <r>
    <x v="237"/>
    <d v="2026-02-01T00:00:00"/>
    <s v="Customer_238"/>
    <x v="9"/>
    <x v="4"/>
    <x v="1"/>
    <n v="1"/>
    <x v="4"/>
    <n v="1200"/>
    <x v="1"/>
  </r>
  <r>
    <x v="238"/>
    <d v="2026-03-02T00:00:00"/>
    <s v="Customer_239"/>
    <x v="0"/>
    <x v="4"/>
    <x v="1"/>
    <n v="2"/>
    <x v="4"/>
    <n v="2400"/>
    <x v="2"/>
  </r>
  <r>
    <x v="239"/>
    <d v="2026-02-16T00:00:00"/>
    <s v="Customer_240"/>
    <x v="9"/>
    <x v="5"/>
    <x v="0"/>
    <n v="3"/>
    <x v="5"/>
    <n v="165000"/>
    <x v="0"/>
  </r>
  <r>
    <x v="240"/>
    <d v="2026-01-15T00:00:00"/>
    <s v="Customer_241"/>
    <x v="9"/>
    <x v="3"/>
    <x v="0"/>
    <n v="3"/>
    <x v="3"/>
    <n v="21000"/>
    <x v="2"/>
  </r>
  <r>
    <x v="241"/>
    <d v="2026-02-21T00:00:00"/>
    <s v="Customer_242"/>
    <x v="3"/>
    <x v="0"/>
    <x v="0"/>
    <n v="2"/>
    <x v="0"/>
    <n v="30000"/>
    <x v="1"/>
  </r>
  <r>
    <x v="242"/>
    <d v="2026-01-14T00:00:00"/>
    <s v="Customer_243"/>
    <x v="2"/>
    <x v="7"/>
    <x v="2"/>
    <n v="3"/>
    <x v="7"/>
    <n v="9000"/>
    <x v="0"/>
  </r>
  <r>
    <x v="243"/>
    <d v="2026-01-11T00:00:00"/>
    <s v="Customer_244"/>
    <x v="0"/>
    <x v="4"/>
    <x v="1"/>
    <n v="2"/>
    <x v="4"/>
    <n v="2400"/>
    <x v="1"/>
  </r>
  <r>
    <x v="244"/>
    <d v="2026-01-19T00:00:00"/>
    <s v="Customer_245"/>
    <x v="8"/>
    <x v="0"/>
    <x v="0"/>
    <n v="3"/>
    <x v="0"/>
    <n v="45000"/>
    <x v="1"/>
  </r>
  <r>
    <x v="245"/>
    <d v="2026-01-13T00:00:00"/>
    <s v="Customer_246"/>
    <x v="2"/>
    <x v="0"/>
    <x v="0"/>
    <n v="1"/>
    <x v="0"/>
    <n v="15000"/>
    <x v="2"/>
  </r>
  <r>
    <x v="246"/>
    <d v="2026-01-27T00:00:00"/>
    <s v="Customer_247"/>
    <x v="9"/>
    <x v="8"/>
    <x v="2"/>
    <n v="1"/>
    <x v="2"/>
    <n v="2000"/>
    <x v="1"/>
  </r>
  <r>
    <x v="247"/>
    <d v="2026-01-15T00:00:00"/>
    <s v="Customer_248"/>
    <x v="9"/>
    <x v="5"/>
    <x v="0"/>
    <n v="2"/>
    <x v="5"/>
    <n v="110000"/>
    <x v="1"/>
  </r>
  <r>
    <x v="248"/>
    <d v="2026-01-10T00:00:00"/>
    <s v="Customer_249"/>
    <x v="0"/>
    <x v="4"/>
    <x v="1"/>
    <n v="1"/>
    <x v="4"/>
    <n v="1200"/>
    <x v="0"/>
  </r>
  <r>
    <x v="249"/>
    <d v="2026-02-21T00:00:00"/>
    <s v="Customer_250"/>
    <x v="9"/>
    <x v="3"/>
    <x v="0"/>
    <n v="2"/>
    <x v="3"/>
    <n v="14000"/>
    <x v="0"/>
  </r>
  <r>
    <x v="250"/>
    <d v="2026-03-02T00:00:00"/>
    <s v="Customer_251"/>
    <x v="5"/>
    <x v="3"/>
    <x v="0"/>
    <n v="1"/>
    <x v="3"/>
    <n v="7000"/>
    <x v="1"/>
  </r>
  <r>
    <x v="251"/>
    <d v="2026-02-20T00:00:00"/>
    <s v="Customer_252"/>
    <x v="4"/>
    <x v="0"/>
    <x v="0"/>
    <n v="2"/>
    <x v="0"/>
    <n v="30000"/>
    <x v="1"/>
  </r>
  <r>
    <x v="252"/>
    <d v="2026-02-09T00:00:00"/>
    <s v="Customer_253"/>
    <x v="7"/>
    <x v="2"/>
    <x v="1"/>
    <n v="2"/>
    <x v="2"/>
    <n v="4000"/>
    <x v="2"/>
  </r>
  <r>
    <x v="253"/>
    <d v="2026-01-21T00:00:00"/>
    <s v="Customer_254"/>
    <x v="7"/>
    <x v="3"/>
    <x v="0"/>
    <n v="3"/>
    <x v="3"/>
    <n v="21000"/>
    <x v="0"/>
  </r>
  <r>
    <x v="254"/>
    <d v="2026-01-24T00:00:00"/>
    <s v="Customer_255"/>
    <x v="4"/>
    <x v="6"/>
    <x v="0"/>
    <n v="1"/>
    <x v="6"/>
    <n v="1500"/>
    <x v="2"/>
  </r>
  <r>
    <x v="255"/>
    <d v="2026-01-02T00:00:00"/>
    <s v="Customer_256"/>
    <x v="4"/>
    <x v="2"/>
    <x v="1"/>
    <n v="2"/>
    <x v="2"/>
    <n v="4000"/>
    <x v="2"/>
  </r>
  <r>
    <x v="256"/>
    <d v="2026-01-02T00:00:00"/>
    <s v="Customer_257"/>
    <x v="7"/>
    <x v="7"/>
    <x v="2"/>
    <n v="3"/>
    <x v="7"/>
    <n v="9000"/>
    <x v="0"/>
  </r>
  <r>
    <x v="257"/>
    <d v="2026-02-17T00:00:00"/>
    <s v="Customer_258"/>
    <x v="7"/>
    <x v="3"/>
    <x v="0"/>
    <n v="2"/>
    <x v="3"/>
    <n v="14000"/>
    <x v="0"/>
  </r>
  <r>
    <x v="258"/>
    <d v="2026-03-02T00:00:00"/>
    <s v="Customer_259"/>
    <x v="0"/>
    <x v="3"/>
    <x v="0"/>
    <n v="1"/>
    <x v="3"/>
    <n v="7000"/>
    <x v="0"/>
  </r>
  <r>
    <x v="259"/>
    <d v="2026-01-05T00:00:00"/>
    <s v="Customer_260"/>
    <x v="2"/>
    <x v="2"/>
    <x v="1"/>
    <n v="3"/>
    <x v="2"/>
    <n v="6000"/>
    <x v="0"/>
  </r>
  <r>
    <x v="260"/>
    <d v="2026-02-06T00:00:00"/>
    <s v="Customer_261"/>
    <x v="7"/>
    <x v="9"/>
    <x v="0"/>
    <n v="3"/>
    <x v="8"/>
    <n v="60000"/>
    <x v="2"/>
  </r>
  <r>
    <x v="261"/>
    <d v="2026-01-13T00:00:00"/>
    <s v="Customer_262"/>
    <x v="4"/>
    <x v="9"/>
    <x v="0"/>
    <n v="3"/>
    <x v="8"/>
    <n v="60000"/>
    <x v="0"/>
  </r>
  <r>
    <x v="262"/>
    <d v="2026-01-15T00:00:00"/>
    <s v="Customer_263"/>
    <x v="2"/>
    <x v="6"/>
    <x v="0"/>
    <n v="1"/>
    <x v="6"/>
    <n v="1500"/>
    <x v="2"/>
  </r>
  <r>
    <x v="263"/>
    <d v="2026-01-01T00:00:00"/>
    <s v="Customer_264"/>
    <x v="3"/>
    <x v="3"/>
    <x v="0"/>
    <n v="2"/>
    <x v="3"/>
    <n v="14000"/>
    <x v="2"/>
  </r>
  <r>
    <x v="264"/>
    <d v="2026-01-18T00:00:00"/>
    <s v="Customer_265"/>
    <x v="8"/>
    <x v="8"/>
    <x v="2"/>
    <n v="3"/>
    <x v="2"/>
    <n v="6000"/>
    <x v="1"/>
  </r>
  <r>
    <x v="265"/>
    <d v="2026-01-20T00:00:00"/>
    <s v="Customer_266"/>
    <x v="8"/>
    <x v="3"/>
    <x v="0"/>
    <n v="3"/>
    <x v="3"/>
    <n v="21000"/>
    <x v="1"/>
  </r>
  <r>
    <x v="266"/>
    <d v="2026-01-02T00:00:00"/>
    <s v="Customer_267"/>
    <x v="8"/>
    <x v="1"/>
    <x v="1"/>
    <n v="3"/>
    <x v="1"/>
    <n v="1500"/>
    <x v="0"/>
  </r>
  <r>
    <x v="267"/>
    <d v="2026-01-03T00:00:00"/>
    <s v="Customer_268"/>
    <x v="5"/>
    <x v="7"/>
    <x v="2"/>
    <n v="1"/>
    <x v="7"/>
    <n v="3000"/>
    <x v="1"/>
  </r>
  <r>
    <x v="268"/>
    <d v="2026-01-24T00:00:00"/>
    <s v="Customer_269"/>
    <x v="2"/>
    <x v="4"/>
    <x v="1"/>
    <n v="3"/>
    <x v="4"/>
    <n v="3600"/>
    <x v="2"/>
  </r>
  <r>
    <x v="269"/>
    <d v="2026-01-23T00:00:00"/>
    <s v="Customer_270"/>
    <x v="1"/>
    <x v="2"/>
    <x v="1"/>
    <n v="1"/>
    <x v="2"/>
    <n v="2000"/>
    <x v="0"/>
  </r>
  <r>
    <x v="270"/>
    <d v="2026-02-05T00:00:00"/>
    <s v="Customer_271"/>
    <x v="2"/>
    <x v="2"/>
    <x v="1"/>
    <n v="2"/>
    <x v="2"/>
    <n v="4000"/>
    <x v="0"/>
  </r>
  <r>
    <x v="271"/>
    <d v="2026-02-23T00:00:00"/>
    <s v="Customer_272"/>
    <x v="4"/>
    <x v="1"/>
    <x v="1"/>
    <n v="2"/>
    <x v="1"/>
    <n v="1000"/>
    <x v="1"/>
  </r>
  <r>
    <x v="272"/>
    <d v="2026-02-02T00:00:00"/>
    <s v="Customer_273"/>
    <x v="4"/>
    <x v="9"/>
    <x v="0"/>
    <n v="1"/>
    <x v="8"/>
    <n v="20000"/>
    <x v="0"/>
  </r>
  <r>
    <x v="273"/>
    <d v="2026-02-14T00:00:00"/>
    <s v="Customer_274"/>
    <x v="8"/>
    <x v="6"/>
    <x v="0"/>
    <n v="1"/>
    <x v="6"/>
    <n v="1500"/>
    <x v="2"/>
  </r>
  <r>
    <x v="274"/>
    <d v="2026-01-22T00:00:00"/>
    <s v="Customer_275"/>
    <x v="6"/>
    <x v="3"/>
    <x v="0"/>
    <n v="2"/>
    <x v="3"/>
    <n v="14000"/>
    <x v="1"/>
  </r>
  <r>
    <x v="275"/>
    <d v="2026-02-28T00:00:00"/>
    <s v="Customer_276"/>
    <x v="9"/>
    <x v="8"/>
    <x v="2"/>
    <n v="3"/>
    <x v="2"/>
    <n v="6000"/>
    <x v="0"/>
  </r>
  <r>
    <x v="276"/>
    <d v="2026-02-22T00:00:00"/>
    <s v="Customer_277"/>
    <x v="3"/>
    <x v="3"/>
    <x v="0"/>
    <n v="3"/>
    <x v="3"/>
    <n v="21000"/>
    <x v="1"/>
  </r>
  <r>
    <x v="277"/>
    <d v="2026-03-01T00:00:00"/>
    <s v="Customer_278"/>
    <x v="8"/>
    <x v="8"/>
    <x v="2"/>
    <n v="1"/>
    <x v="2"/>
    <n v="2000"/>
    <x v="0"/>
  </r>
  <r>
    <x v="278"/>
    <d v="2026-02-07T00:00:00"/>
    <s v="Customer_279"/>
    <x v="8"/>
    <x v="9"/>
    <x v="0"/>
    <n v="3"/>
    <x v="8"/>
    <n v="60000"/>
    <x v="1"/>
  </r>
  <r>
    <x v="279"/>
    <d v="2026-02-19T00:00:00"/>
    <s v="Customer_280"/>
    <x v="9"/>
    <x v="7"/>
    <x v="2"/>
    <n v="2"/>
    <x v="7"/>
    <n v="6000"/>
    <x v="0"/>
  </r>
  <r>
    <x v="280"/>
    <d v="2026-02-26T00:00:00"/>
    <s v="Customer_281"/>
    <x v="1"/>
    <x v="6"/>
    <x v="0"/>
    <n v="1"/>
    <x v="6"/>
    <n v="1500"/>
    <x v="0"/>
  </r>
  <r>
    <x v="281"/>
    <d v="2026-01-18T00:00:00"/>
    <s v="Customer_282"/>
    <x v="3"/>
    <x v="2"/>
    <x v="1"/>
    <n v="3"/>
    <x v="2"/>
    <n v="6000"/>
    <x v="1"/>
  </r>
  <r>
    <x v="282"/>
    <d v="2026-01-26T00:00:00"/>
    <s v="Customer_283"/>
    <x v="9"/>
    <x v="9"/>
    <x v="0"/>
    <n v="3"/>
    <x v="8"/>
    <n v="60000"/>
    <x v="2"/>
  </r>
  <r>
    <x v="283"/>
    <d v="2026-01-29T00:00:00"/>
    <s v="Customer_284"/>
    <x v="7"/>
    <x v="5"/>
    <x v="0"/>
    <n v="3"/>
    <x v="5"/>
    <n v="165000"/>
    <x v="2"/>
  </r>
  <r>
    <x v="284"/>
    <d v="2026-01-06T00:00:00"/>
    <s v="Customer_285"/>
    <x v="9"/>
    <x v="8"/>
    <x v="2"/>
    <n v="3"/>
    <x v="2"/>
    <n v="6000"/>
    <x v="2"/>
  </r>
  <r>
    <x v="285"/>
    <d v="2026-01-03T00:00:00"/>
    <s v="Customer_286"/>
    <x v="8"/>
    <x v="1"/>
    <x v="1"/>
    <n v="1"/>
    <x v="1"/>
    <n v="500"/>
    <x v="2"/>
  </r>
  <r>
    <x v="286"/>
    <d v="2026-01-25T00:00:00"/>
    <s v="Customer_287"/>
    <x v="2"/>
    <x v="7"/>
    <x v="2"/>
    <n v="3"/>
    <x v="7"/>
    <n v="9000"/>
    <x v="1"/>
  </r>
  <r>
    <x v="287"/>
    <d v="2026-02-14T00:00:00"/>
    <s v="Customer_288"/>
    <x v="6"/>
    <x v="3"/>
    <x v="0"/>
    <n v="1"/>
    <x v="3"/>
    <n v="7000"/>
    <x v="2"/>
  </r>
  <r>
    <x v="288"/>
    <d v="2026-02-05T00:00:00"/>
    <s v="Customer_289"/>
    <x v="5"/>
    <x v="6"/>
    <x v="0"/>
    <n v="2"/>
    <x v="6"/>
    <n v="3000"/>
    <x v="0"/>
  </r>
  <r>
    <x v="289"/>
    <d v="2026-02-24T00:00:00"/>
    <s v="Customer_290"/>
    <x v="7"/>
    <x v="3"/>
    <x v="0"/>
    <n v="1"/>
    <x v="3"/>
    <n v="7000"/>
    <x v="1"/>
  </r>
  <r>
    <x v="290"/>
    <d v="2026-01-27T00:00:00"/>
    <s v="Customer_291"/>
    <x v="4"/>
    <x v="0"/>
    <x v="0"/>
    <n v="1"/>
    <x v="0"/>
    <n v="15000"/>
    <x v="0"/>
  </r>
  <r>
    <x v="291"/>
    <d v="2026-02-23T00:00:00"/>
    <s v="Customer_292"/>
    <x v="7"/>
    <x v="6"/>
    <x v="0"/>
    <n v="2"/>
    <x v="6"/>
    <n v="3000"/>
    <x v="0"/>
  </r>
  <r>
    <x v="292"/>
    <d v="2026-01-28T00:00:00"/>
    <s v="Customer_293"/>
    <x v="7"/>
    <x v="1"/>
    <x v="1"/>
    <n v="2"/>
    <x v="1"/>
    <n v="1000"/>
    <x v="0"/>
  </r>
  <r>
    <x v="293"/>
    <d v="2026-01-14T00:00:00"/>
    <s v="Customer_294"/>
    <x v="6"/>
    <x v="7"/>
    <x v="2"/>
    <n v="1"/>
    <x v="7"/>
    <n v="3000"/>
    <x v="1"/>
  </r>
  <r>
    <x v="294"/>
    <d v="2026-02-01T00:00:00"/>
    <s v="Customer_295"/>
    <x v="8"/>
    <x v="8"/>
    <x v="2"/>
    <n v="3"/>
    <x v="2"/>
    <n v="6000"/>
    <x v="1"/>
  </r>
  <r>
    <x v="295"/>
    <d v="2026-01-03T00:00:00"/>
    <s v="Customer_296"/>
    <x v="2"/>
    <x v="1"/>
    <x v="1"/>
    <n v="1"/>
    <x v="1"/>
    <n v="500"/>
    <x v="2"/>
  </r>
  <r>
    <x v="296"/>
    <d v="2026-01-24T00:00:00"/>
    <s v="Customer_297"/>
    <x v="2"/>
    <x v="1"/>
    <x v="1"/>
    <n v="2"/>
    <x v="1"/>
    <n v="1000"/>
    <x v="2"/>
  </r>
  <r>
    <x v="297"/>
    <d v="2026-01-22T00:00:00"/>
    <s v="Customer_298"/>
    <x v="9"/>
    <x v="9"/>
    <x v="0"/>
    <n v="2"/>
    <x v="8"/>
    <n v="40000"/>
    <x v="2"/>
  </r>
  <r>
    <x v="298"/>
    <d v="2026-02-13T00:00:00"/>
    <s v="Customer_299"/>
    <x v="6"/>
    <x v="2"/>
    <x v="1"/>
    <n v="3"/>
    <x v="2"/>
    <n v="6000"/>
    <x v="2"/>
  </r>
  <r>
    <x v="299"/>
    <d v="2026-01-19T00:00:00"/>
    <s v="Customer_300"/>
    <x v="1"/>
    <x v="9"/>
    <x v="0"/>
    <n v="2"/>
    <x v="8"/>
    <n v="4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65063-8134-4008-AFA7-11464F8D3B77}"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5:B99" firstHeaderRow="1" firstDataRow="1" firstDataCol="1"/>
  <pivotFields count="10">
    <pivotField showAll="0"/>
    <pivotField numFmtId="14" showAll="0"/>
    <pivotField showAll="0"/>
    <pivotField showAll="0">
      <items count="12">
        <item x="1"/>
        <item x="4"/>
        <item x="2"/>
        <item x="6"/>
        <item f="1" x="10"/>
        <item x="3"/>
        <item x="9"/>
        <item x="7"/>
        <item x="8"/>
        <item x="5"/>
        <item x="0"/>
        <item t="default"/>
      </items>
    </pivotField>
    <pivotField showAll="0"/>
    <pivotField showAll="0">
      <items count="4">
        <item x="2"/>
        <item x="0"/>
        <item x="1"/>
        <item t="default"/>
      </items>
    </pivotField>
    <pivotField showAll="0"/>
    <pivotField showAll="0">
      <items count="10">
        <item x="1"/>
        <item x="4"/>
        <item x="6"/>
        <item x="2"/>
        <item x="7"/>
        <item x="3"/>
        <item x="0"/>
        <item x="8"/>
        <item x="5"/>
        <item t="default"/>
      </items>
    </pivotField>
    <pivotField dataField="1" showAll="0"/>
    <pivotField axis="axisRow" showAll="0">
      <items count="4">
        <item x="2"/>
        <item x="1"/>
        <item x="0"/>
        <item t="default"/>
      </items>
    </pivotField>
  </pivotFields>
  <rowFields count="1">
    <field x="9"/>
  </rowFields>
  <rowItems count="4">
    <i>
      <x/>
    </i>
    <i>
      <x v="1"/>
    </i>
    <i>
      <x v="2"/>
    </i>
    <i t="grand">
      <x/>
    </i>
  </rowItems>
  <colItems count="1">
    <i/>
  </colItems>
  <dataFields count="1">
    <dataField name="Sum of Total_Amount" fld="8" baseField="0" baseItem="0"/>
  </dataFields>
  <chartFormats count="9">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9" count="1" selected="0">
            <x v="0"/>
          </reference>
        </references>
      </pivotArea>
    </chartFormat>
    <chartFormat chart="6" format="3">
      <pivotArea type="data" outline="0" fieldPosition="0">
        <references count="2">
          <reference field="4294967294" count="1" selected="0">
            <x v="0"/>
          </reference>
          <reference field="9" count="1" selected="0">
            <x v="1"/>
          </reference>
        </references>
      </pivotArea>
    </chartFormat>
    <chartFormat chart="6" format="4">
      <pivotArea type="data" outline="0" fieldPosition="0">
        <references count="2">
          <reference field="4294967294" count="1" selected="0">
            <x v="0"/>
          </reference>
          <reference field="9"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9" count="1" selected="0">
            <x v="0"/>
          </reference>
        </references>
      </pivotArea>
    </chartFormat>
    <chartFormat chart="7" format="7">
      <pivotArea type="data" outline="0" fieldPosition="0">
        <references count="2">
          <reference field="4294967294" count="1" selected="0">
            <x v="0"/>
          </reference>
          <reference field="9" count="1" selected="0">
            <x v="1"/>
          </reference>
        </references>
      </pivotArea>
    </chartFormat>
    <chartFormat chart="7"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356D1-97AD-4CB8-AC61-2BBB82A54C90}"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5:B87" firstHeaderRow="1" firstDataRow="1" firstDataCol="1"/>
  <pivotFields count="10">
    <pivotField showAll="0"/>
    <pivotField numFmtId="14" showAll="0"/>
    <pivotField showAll="0"/>
    <pivotField axis="axisRow" showAll="0" sortType="ascending">
      <items count="12">
        <item x="1"/>
        <item x="4"/>
        <item x="2"/>
        <item x="6"/>
        <item x="3"/>
        <item x="9"/>
        <item x="7"/>
        <item x="5"/>
        <item x="0"/>
        <item n="j" f="1" x="10"/>
        <item x="8"/>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items count="10">
        <item x="1"/>
        <item x="4"/>
        <item x="6"/>
        <item x="2"/>
        <item x="7"/>
        <item x="3"/>
        <item x="0"/>
        <item x="8"/>
        <item x="5"/>
        <item t="default"/>
      </items>
    </pivotField>
    <pivotField dataField="1" showAll="0"/>
    <pivotField showAll="0"/>
  </pivotFields>
  <rowFields count="1">
    <field x="3"/>
  </rowFields>
  <rowItems count="12">
    <i>
      <x v="9"/>
    </i>
    <i>
      <x v="7"/>
    </i>
    <i>
      <x v="8"/>
    </i>
    <i>
      <x v="1"/>
    </i>
    <i>
      <x v="3"/>
    </i>
    <i>
      <x v="5"/>
    </i>
    <i>
      <x v="10"/>
    </i>
    <i>
      <x v="2"/>
    </i>
    <i>
      <x v="6"/>
    </i>
    <i>
      <x/>
    </i>
    <i>
      <x v="4"/>
    </i>
    <i t="grand">
      <x/>
    </i>
  </rowItems>
  <colItems count="1">
    <i/>
  </colItems>
  <dataFields count="1">
    <dataField name="Sum of Total_Amount" fld="8" baseField="0" baseItem="0"/>
  </dataFields>
  <chartFormats count="2">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7CD68-0615-47F5-BD55-CEB050C813DC}"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0:B71" firstHeaderRow="1" firstDataRow="1" firstDataCol="1"/>
  <pivotFields count="10">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umFmtId="14" showAll="0"/>
    <pivotField showAll="0"/>
    <pivotField showAll="0">
      <items count="12">
        <item x="1"/>
        <item x="4"/>
        <item x="2"/>
        <item x="6"/>
        <item x="3"/>
        <item x="9"/>
        <item x="7"/>
        <item x="8"/>
        <item x="5"/>
        <item x="0"/>
        <item f="1" x="10"/>
        <item t="default"/>
      </items>
    </pivotField>
    <pivotField axis="axisRow" showAll="0">
      <items count="11">
        <item x="8"/>
        <item x="6"/>
        <item x="4"/>
        <item x="5"/>
        <item x="0"/>
        <item x="2"/>
        <item x="3"/>
        <item x="9"/>
        <item x="1"/>
        <item x="7"/>
        <item t="default"/>
      </items>
    </pivotField>
    <pivotField showAll="0">
      <items count="4">
        <item x="2"/>
        <item x="0"/>
        <item x="1"/>
        <item t="default"/>
      </items>
    </pivotField>
    <pivotField dataField="1" showAll="0"/>
    <pivotField showAll="0">
      <items count="10">
        <item x="1"/>
        <item x="4"/>
        <item x="6"/>
        <item x="2"/>
        <item x="7"/>
        <item x="3"/>
        <item x="0"/>
        <item x="8"/>
        <item x="5"/>
        <item t="default"/>
      </items>
    </pivotField>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Quantity" fld="6"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CDC4F-625D-4558-A4C9-DE891BCAE2EB}"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2:B53" firstHeaderRow="1" firstDataRow="1" firstDataCol="1"/>
  <pivotFields count="10">
    <pivotField showAll="0"/>
    <pivotField numFmtId="14" showAll="0"/>
    <pivotField showAll="0"/>
    <pivotField showAll="0">
      <items count="12">
        <item x="1"/>
        <item x="4"/>
        <item x="2"/>
        <item x="6"/>
        <item x="3"/>
        <item x="9"/>
        <item x="7"/>
        <item x="8"/>
        <item x="5"/>
        <item x="0"/>
        <item f="1" x="10"/>
        <item t="default"/>
      </items>
    </pivotField>
    <pivotField axis="axisRow" showAll="0">
      <items count="11">
        <item x="8"/>
        <item x="6"/>
        <item x="4"/>
        <item x="5"/>
        <item x="0"/>
        <item x="2"/>
        <item x="3"/>
        <item x="9"/>
        <item x="1"/>
        <item x="7"/>
        <item t="default"/>
      </items>
    </pivotField>
    <pivotField showAll="0">
      <items count="4">
        <item x="2"/>
        <item x="0"/>
        <item x="1"/>
        <item t="default"/>
      </items>
    </pivotField>
    <pivotField showAll="0"/>
    <pivotField dataField="1" showAll="0">
      <items count="10">
        <item x="1"/>
        <item x="4"/>
        <item x="6"/>
        <item x="2"/>
        <item x="7"/>
        <item x="3"/>
        <item x="0"/>
        <item x="8"/>
        <item x="5"/>
        <item t="default"/>
      </items>
    </pivotField>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Price" fld="7" subtotal="count" baseField="4"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54F39-90FA-412C-B6F8-0F28B610AF9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29" firstHeaderRow="1" firstDataRow="1" firstDataCol="1"/>
  <pivotFields count="10">
    <pivotField showAll="0"/>
    <pivotField numFmtId="14" showAll="0"/>
    <pivotField showAll="0"/>
    <pivotField showAll="0">
      <items count="12">
        <item x="1"/>
        <item x="4"/>
        <item x="2"/>
        <item x="6"/>
        <item x="3"/>
        <item x="9"/>
        <item x="7"/>
        <item x="8"/>
        <item x="5"/>
        <item x="0"/>
        <item f="1" x="10"/>
        <item t="default"/>
      </items>
    </pivotField>
    <pivotField showAll="0">
      <items count="11">
        <item x="8"/>
        <item x="6"/>
        <item x="4"/>
        <item x="5"/>
        <item x="0"/>
        <item x="2"/>
        <item x="3"/>
        <item x="9"/>
        <item x="1"/>
        <item x="7"/>
        <item t="default"/>
      </items>
    </pivotField>
    <pivotField axis="axisRow" showAll="0">
      <items count="4">
        <item x="2"/>
        <item x="0"/>
        <item x="1"/>
        <item t="default"/>
      </items>
    </pivotField>
    <pivotField showAll="0"/>
    <pivotField dataField="1" showAll="0">
      <items count="10">
        <item x="1"/>
        <item x="4"/>
        <item x="6"/>
        <item x="2"/>
        <item x="7"/>
        <item x="3"/>
        <item x="0"/>
        <item x="8"/>
        <item x="5"/>
        <item t="default"/>
      </items>
    </pivotField>
    <pivotField showAll="0"/>
    <pivotField showAll="0"/>
  </pivotFields>
  <rowFields count="1">
    <field x="5"/>
  </rowFields>
  <rowItems count="4">
    <i>
      <x/>
    </i>
    <i>
      <x v="1"/>
    </i>
    <i>
      <x v="2"/>
    </i>
    <i t="grand">
      <x/>
    </i>
  </rowItems>
  <colItems count="1">
    <i/>
  </colItems>
  <dataFields count="1">
    <dataField name="Sum of Price" fld="7" baseField="5"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C2221D-FA2A-4A75-82FC-7D93A41DB03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pivotField numFmtId="14" showAll="0"/>
    <pivotField showAll="0"/>
    <pivotField showAll="0">
      <items count="12">
        <item x="1"/>
        <item x="4"/>
        <item x="2"/>
        <item x="6"/>
        <item x="3"/>
        <item x="9"/>
        <item x="7"/>
        <item x="8"/>
        <item x="5"/>
        <item x="0"/>
        <item f="1" x="10"/>
        <item t="default"/>
      </items>
    </pivotField>
    <pivotField showAll="0">
      <items count="11">
        <item x="8"/>
        <item x="6"/>
        <item x="4"/>
        <item x="5"/>
        <item x="0"/>
        <item x="2"/>
        <item x="3"/>
        <item x="9"/>
        <item x="1"/>
        <item x="7"/>
        <item t="default"/>
      </items>
    </pivotField>
    <pivotField dataField="1" showAll="0">
      <items count="4">
        <item x="2"/>
        <item x="0"/>
        <item x="1"/>
        <item t="default"/>
      </items>
    </pivotField>
    <pivotField dataField="1" showAll="0"/>
    <pivotField dataField="1" showAll="0">
      <items count="10">
        <item x="1"/>
        <item x="4"/>
        <item x="6"/>
        <item x="2"/>
        <item x="7"/>
        <item x="3"/>
        <item x="0"/>
        <item x="8"/>
        <item x="5"/>
        <item t="default"/>
      </items>
    </pivotField>
    <pivotField dataField="1" showAll="0"/>
    <pivotField showAll="0"/>
  </pivotFields>
  <rowItems count="1">
    <i/>
  </rowItems>
  <colFields count="1">
    <field x="-2"/>
  </colFields>
  <colItems count="4">
    <i>
      <x/>
    </i>
    <i i="1">
      <x v="1"/>
    </i>
    <i i="2">
      <x v="2"/>
    </i>
    <i i="3">
      <x v="3"/>
    </i>
  </colItems>
  <dataFields count="4">
    <dataField name="Sum of Quantity" fld="6" baseField="0" baseItem="0"/>
    <dataField name="Count of Category" fld="5" subtotal="count" baseField="0" baseItem="0"/>
    <dataField name="Max of Price" fld="7" subtotal="max" baseField="0" baseItem="1"/>
    <dataField name="Sum of Total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253674A-AD44-460E-ADF4-3BBA503EDC51}" sourceName="City">
  <pivotTables>
    <pivotTable tabId="2" name="PivotTable1"/>
    <pivotTable tabId="2" name="PivotTable2"/>
    <pivotTable tabId="2" name="PivotTable3"/>
    <pivotTable tabId="2" name="PivotTable4"/>
    <pivotTable tabId="2" name="PivotTable6"/>
    <pivotTable tabId="2" name="PivotTable7"/>
  </pivotTables>
  <data>
    <tabular pivotCacheId="1256362745">
      <items count="11">
        <i x="1" s="1"/>
        <i x="4" s="1"/>
        <i x="2" s="1"/>
        <i x="6" s="1"/>
        <i x="3" s="1"/>
        <i x="10" s="1"/>
        <i x="9" s="1"/>
        <i x="7" s="1"/>
        <i x="8"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637C13-313C-41C8-9BE5-BBA4FBA2FF3F}" sourceName="Category">
  <pivotTables>
    <pivotTable tabId="2" name="PivotTable1"/>
    <pivotTable tabId="2" name="PivotTable2"/>
    <pivotTable tabId="2" name="PivotTable3"/>
    <pivotTable tabId="2" name="PivotTable4"/>
    <pivotTable tabId="2" name="PivotTable6"/>
    <pivotTable tabId="2" name="PivotTable7"/>
  </pivotTables>
  <data>
    <tabular pivotCacheId="125636274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0E05AC40-67DE-4072-A04F-ADA117D60015}" sourceName="Price">
  <pivotTables>
    <pivotTable tabId="2" name="PivotTable1"/>
    <pivotTable tabId="2" name="PivotTable2"/>
    <pivotTable tabId="2" name="PivotTable3"/>
    <pivotTable tabId="2" name="PivotTable4"/>
    <pivotTable tabId="2" name="PivotTable6"/>
    <pivotTable tabId="2" name="PivotTable7"/>
  </pivotTables>
  <data>
    <tabular pivotCacheId="1256362745">
      <items count="9">
        <i x="1" s="1"/>
        <i x="4" s="1"/>
        <i x="6" s="1"/>
        <i x="2" s="1"/>
        <i x="7" s="1"/>
        <i x="3" s="1"/>
        <i x="0"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B3968E4-FB23-495E-B6F3-49C9699D25D8}" cache="Slicer_City" caption="City" rowHeight="247650"/>
  <slicer name="Category" xr10:uid="{B02BA5F8-6117-4128-9690-543F315FC48F}" cache="Slicer_Category" caption="Category" rowHeight="247650"/>
  <slicer name="Price" xr10:uid="{CFD528DB-F1E2-4C07-B510-2FED4A0CE542}" cache="Slicer_Price" caption="Pric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B9FAB0D-580A-4E28-BCCE-16E22A21865A}" cache="Slicer_City" caption="City" startItem="4" rowHeight="216000"/>
  <slicer name="Category 1" xr10:uid="{5FBCD689-C0F9-48AA-A471-80C6972CEBD2}" cache="Slicer_Category" caption="Category" rowHeight="247650"/>
  <slicer name="Price 1" xr10:uid="{A7D13322-B8F7-435E-A8BD-7EDAC1EC5521}" cache="Slicer_Price" caption="Pric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125D49-45BE-4F1C-A855-52FE79F45CCC}" name="Table1" displayName="Table1" ref="A1:J301" totalsRowShown="0">
  <autoFilter ref="A1:J301" xr:uid="{2E125D49-45BE-4F1C-A855-52FE79F45CCC}"/>
  <tableColumns count="10">
    <tableColumn id="1" xr3:uid="{D866AE09-A68A-4705-A0EC-9DD16B075907}" name="Order_ID"/>
    <tableColumn id="2" xr3:uid="{BB12B9DC-626D-44A6-8EE0-672DE390652B}" name="Date" dataDxfId="0"/>
    <tableColumn id="3" xr3:uid="{69AA2FB6-82A8-4A4A-879D-F01AC5C591DB}" name="Customer_Name"/>
    <tableColumn id="4" xr3:uid="{5C2B2FBB-864D-4B3D-9219-69D582E391B2}" name="City"/>
    <tableColumn id="5" xr3:uid="{A76EE779-A62E-472F-A447-F0822B98E906}" name="Product"/>
    <tableColumn id="6" xr3:uid="{390C8249-C103-4DB2-BCDC-218E1D1C830F}" name="Category"/>
    <tableColumn id="7" xr3:uid="{D71655BE-5A93-440C-BEAB-7CBA44CABF23}" name="Quantity"/>
    <tableColumn id="8" xr3:uid="{CA8C1AED-70F6-437C-A0D0-BAE58C8DEE03}" name="Price"/>
    <tableColumn id="9" xr3:uid="{C5FE24A9-B488-4E10-BCD1-2CD586BF2809}" name="Total_Amount"/>
    <tableColumn id="10" xr3:uid="{A350A2F4-7B29-45B8-902A-093896D8D5BD}" name="Payment_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DB1E-A571-44B6-8DAC-A0ED7F24DF8D}">
  <dimension ref="A1:L99"/>
  <sheetViews>
    <sheetView workbookViewId="0">
      <selection activeCell="D3" sqref="D3"/>
    </sheetView>
  </sheetViews>
  <sheetFormatPr defaultRowHeight="14.4" x14ac:dyDescent="0.3"/>
  <cols>
    <col min="1" max="1" width="12.44140625" bestFit="1" customWidth="1"/>
    <col min="2" max="2" width="18.5546875" bestFit="1" customWidth="1"/>
    <col min="3" max="3" width="10.88671875" bestFit="1" customWidth="1"/>
    <col min="4" max="4" width="18.5546875" bestFit="1" customWidth="1"/>
    <col min="5" max="300" width="15.5546875" bestFit="1" customWidth="1"/>
    <col min="301" max="301" width="10.5546875" bestFit="1" customWidth="1"/>
  </cols>
  <sheetData>
    <row r="1" spans="1:12" x14ac:dyDescent="0.3">
      <c r="B1" s="6" t="s">
        <v>344</v>
      </c>
      <c r="C1" s="5"/>
    </row>
    <row r="2" spans="1:12" x14ac:dyDescent="0.3">
      <c r="B2" s="5"/>
      <c r="C2" s="5"/>
    </row>
    <row r="3" spans="1:12" x14ac:dyDescent="0.3">
      <c r="A3" t="s">
        <v>338</v>
      </c>
      <c r="B3" t="s">
        <v>342</v>
      </c>
      <c r="C3" t="s">
        <v>343</v>
      </c>
      <c r="D3" t="s">
        <v>341</v>
      </c>
      <c r="H3" s="7" t="s">
        <v>345</v>
      </c>
      <c r="I3" s="7"/>
      <c r="J3" s="7"/>
      <c r="K3" s="7"/>
      <c r="L3" s="7"/>
    </row>
    <row r="4" spans="1:12" x14ac:dyDescent="0.3">
      <c r="A4" s="4">
        <v>613</v>
      </c>
      <c r="B4" s="4">
        <v>300</v>
      </c>
      <c r="C4" s="4">
        <v>55000</v>
      </c>
      <c r="D4" s="4">
        <v>6660000</v>
      </c>
      <c r="H4" s="7"/>
      <c r="I4" s="7"/>
      <c r="J4" s="7"/>
      <c r="K4" s="7"/>
      <c r="L4" s="7"/>
    </row>
    <row r="5" spans="1:12" x14ac:dyDescent="0.3">
      <c r="H5" s="7"/>
      <c r="I5" s="7"/>
      <c r="J5" s="7"/>
      <c r="K5" s="7"/>
      <c r="L5" s="7"/>
    </row>
    <row r="7" spans="1:12" x14ac:dyDescent="0.3">
      <c r="A7">
        <f>GETPIVOTDATA("Sum of Quantity",$A$3)</f>
        <v>613</v>
      </c>
      <c r="B7">
        <f>GETPIVOTDATA("Count of Category",$A$3)</f>
        <v>300</v>
      </c>
      <c r="C7">
        <f>GETPIVOTDATA("Max of Price",$A$3)</f>
        <v>55000</v>
      </c>
      <c r="D7">
        <f>GETPIVOTDATA("Sum of Total_Amount",$A$3)</f>
        <v>6660000</v>
      </c>
    </row>
    <row r="25" spans="1:2" x14ac:dyDescent="0.3">
      <c r="A25" s="2" t="s">
        <v>336</v>
      </c>
      <c r="B25" t="s">
        <v>339</v>
      </c>
    </row>
    <row r="26" spans="1:2" x14ac:dyDescent="0.3">
      <c r="A26" s="3" t="s">
        <v>50</v>
      </c>
      <c r="B26" s="4">
        <v>143000</v>
      </c>
    </row>
    <row r="27" spans="1:2" x14ac:dyDescent="0.3">
      <c r="A27" s="3" t="s">
        <v>13</v>
      </c>
      <c r="B27" s="4">
        <v>2927000</v>
      </c>
    </row>
    <row r="28" spans="1:2" x14ac:dyDescent="0.3">
      <c r="A28" s="3" t="s">
        <v>18</v>
      </c>
      <c r="B28" s="4">
        <v>102300</v>
      </c>
    </row>
    <row r="29" spans="1:2" x14ac:dyDescent="0.3">
      <c r="A29" s="3" t="s">
        <v>337</v>
      </c>
      <c r="B29" s="4">
        <v>3172300</v>
      </c>
    </row>
    <row r="42" spans="1:2" x14ac:dyDescent="0.3">
      <c r="A42" s="2" t="s">
        <v>336</v>
      </c>
      <c r="B42" t="s">
        <v>340</v>
      </c>
    </row>
    <row r="43" spans="1:2" x14ac:dyDescent="0.3">
      <c r="A43" s="3" t="s">
        <v>55</v>
      </c>
      <c r="B43" s="4">
        <v>31</v>
      </c>
    </row>
    <row r="44" spans="1:2" x14ac:dyDescent="0.3">
      <c r="A44" s="3" t="s">
        <v>43</v>
      </c>
      <c r="B44" s="4">
        <v>30</v>
      </c>
    </row>
    <row r="45" spans="1:2" x14ac:dyDescent="0.3">
      <c r="A45" s="3" t="s">
        <v>34</v>
      </c>
      <c r="B45" s="4">
        <v>29</v>
      </c>
    </row>
    <row r="46" spans="1:2" x14ac:dyDescent="0.3">
      <c r="A46" s="3" t="s">
        <v>37</v>
      </c>
      <c r="B46" s="4">
        <v>28</v>
      </c>
    </row>
    <row r="47" spans="1:2" x14ac:dyDescent="0.3">
      <c r="A47" s="3" t="s">
        <v>12</v>
      </c>
      <c r="B47" s="4">
        <v>29</v>
      </c>
    </row>
    <row r="48" spans="1:2" x14ac:dyDescent="0.3">
      <c r="A48" s="3" t="s">
        <v>24</v>
      </c>
      <c r="B48" s="4">
        <v>27</v>
      </c>
    </row>
    <row r="49" spans="1:2" x14ac:dyDescent="0.3">
      <c r="A49" s="3" t="s">
        <v>28</v>
      </c>
      <c r="B49" s="4">
        <v>41</v>
      </c>
    </row>
    <row r="50" spans="1:2" x14ac:dyDescent="0.3">
      <c r="A50" s="3" t="s">
        <v>58</v>
      </c>
      <c r="B50" s="4">
        <v>31</v>
      </c>
    </row>
    <row r="51" spans="1:2" x14ac:dyDescent="0.3">
      <c r="A51" s="3" t="s">
        <v>17</v>
      </c>
      <c r="B51" s="4">
        <v>27</v>
      </c>
    </row>
    <row r="52" spans="1:2" x14ac:dyDescent="0.3">
      <c r="A52" s="3" t="s">
        <v>49</v>
      </c>
      <c r="B52" s="4">
        <v>27</v>
      </c>
    </row>
    <row r="53" spans="1:2" x14ac:dyDescent="0.3">
      <c r="A53" s="3" t="s">
        <v>337</v>
      </c>
      <c r="B53" s="4">
        <v>300</v>
      </c>
    </row>
    <row r="60" spans="1:2" x14ac:dyDescent="0.3">
      <c r="A60" s="2" t="s">
        <v>336</v>
      </c>
      <c r="B60" t="s">
        <v>338</v>
      </c>
    </row>
    <row r="61" spans="1:2" x14ac:dyDescent="0.3">
      <c r="A61" s="3" t="s">
        <v>55</v>
      </c>
      <c r="B61" s="4">
        <v>67</v>
      </c>
    </row>
    <row r="62" spans="1:2" x14ac:dyDescent="0.3">
      <c r="A62" s="3" t="s">
        <v>43</v>
      </c>
      <c r="B62" s="4">
        <v>55</v>
      </c>
    </row>
    <row r="63" spans="1:2" x14ac:dyDescent="0.3">
      <c r="A63" s="3" t="s">
        <v>34</v>
      </c>
      <c r="B63" s="4">
        <v>50</v>
      </c>
    </row>
    <row r="64" spans="1:2" x14ac:dyDescent="0.3">
      <c r="A64" s="3" t="s">
        <v>37</v>
      </c>
      <c r="B64" s="4">
        <v>61</v>
      </c>
    </row>
    <row r="65" spans="1:2" x14ac:dyDescent="0.3">
      <c r="A65" s="3" t="s">
        <v>12</v>
      </c>
      <c r="B65" s="4">
        <v>56</v>
      </c>
    </row>
    <row r="66" spans="1:2" x14ac:dyDescent="0.3">
      <c r="A66" s="3" t="s">
        <v>24</v>
      </c>
      <c r="B66" s="4">
        <v>59</v>
      </c>
    </row>
    <row r="67" spans="1:2" x14ac:dyDescent="0.3">
      <c r="A67" s="3" t="s">
        <v>28</v>
      </c>
      <c r="B67" s="4">
        <v>85</v>
      </c>
    </row>
    <row r="68" spans="1:2" x14ac:dyDescent="0.3">
      <c r="A68" s="3" t="s">
        <v>58</v>
      </c>
      <c r="B68" s="4">
        <v>64</v>
      </c>
    </row>
    <row r="69" spans="1:2" x14ac:dyDescent="0.3">
      <c r="A69" s="3" t="s">
        <v>17</v>
      </c>
      <c r="B69" s="4">
        <v>61</v>
      </c>
    </row>
    <row r="70" spans="1:2" x14ac:dyDescent="0.3">
      <c r="A70" s="3" t="s">
        <v>49</v>
      </c>
      <c r="B70" s="4">
        <v>55</v>
      </c>
    </row>
    <row r="71" spans="1:2" x14ac:dyDescent="0.3">
      <c r="A71" s="3" t="s">
        <v>337</v>
      </c>
      <c r="B71" s="4">
        <v>613</v>
      </c>
    </row>
    <row r="75" spans="1:2" x14ac:dyDescent="0.3">
      <c r="A75" s="2" t="s">
        <v>336</v>
      </c>
      <c r="B75" t="s">
        <v>341</v>
      </c>
    </row>
    <row r="76" spans="1:2" x14ac:dyDescent="0.3">
      <c r="A76" s="3" t="s">
        <v>347</v>
      </c>
      <c r="B76" s="4"/>
    </row>
    <row r="77" spans="1:2" x14ac:dyDescent="0.3">
      <c r="A77" s="3" t="s">
        <v>30</v>
      </c>
      <c r="B77" s="4">
        <v>222900</v>
      </c>
    </row>
    <row r="78" spans="1:2" x14ac:dyDescent="0.3">
      <c r="A78" s="3" t="s">
        <v>11</v>
      </c>
      <c r="B78" s="4">
        <v>471900</v>
      </c>
    </row>
    <row r="79" spans="1:2" x14ac:dyDescent="0.3">
      <c r="A79" s="3" t="s">
        <v>27</v>
      </c>
      <c r="B79" s="4">
        <v>604700</v>
      </c>
    </row>
    <row r="80" spans="1:2" x14ac:dyDescent="0.3">
      <c r="A80" s="3" t="s">
        <v>36</v>
      </c>
      <c r="B80" s="4">
        <v>621200</v>
      </c>
    </row>
    <row r="81" spans="1:2" x14ac:dyDescent="0.3">
      <c r="A81" s="3" t="s">
        <v>54</v>
      </c>
      <c r="B81" s="4">
        <v>650100</v>
      </c>
    </row>
    <row r="82" spans="1:2" x14ac:dyDescent="0.3">
      <c r="A82" s="3" t="s">
        <v>46</v>
      </c>
      <c r="B82" s="4">
        <v>676100</v>
      </c>
    </row>
    <row r="83" spans="1:2" x14ac:dyDescent="0.3">
      <c r="A83" s="3" t="s">
        <v>21</v>
      </c>
      <c r="B83" s="4">
        <v>736500</v>
      </c>
    </row>
    <row r="84" spans="1:2" x14ac:dyDescent="0.3">
      <c r="A84" s="3" t="s">
        <v>39</v>
      </c>
      <c r="B84" s="4">
        <v>804700</v>
      </c>
    </row>
    <row r="85" spans="1:2" x14ac:dyDescent="0.3">
      <c r="A85" s="3" t="s">
        <v>16</v>
      </c>
      <c r="B85" s="4">
        <v>879200</v>
      </c>
    </row>
    <row r="86" spans="1:2" x14ac:dyDescent="0.3">
      <c r="A86" s="3" t="s">
        <v>23</v>
      </c>
      <c r="B86" s="4">
        <v>992700</v>
      </c>
    </row>
    <row r="87" spans="1:2" x14ac:dyDescent="0.3">
      <c r="A87" s="3" t="s">
        <v>337</v>
      </c>
      <c r="B87" s="4">
        <v>6660000</v>
      </c>
    </row>
    <row r="95" spans="1:2" x14ac:dyDescent="0.3">
      <c r="A95" s="2" t="s">
        <v>336</v>
      </c>
      <c r="B95" t="s">
        <v>341</v>
      </c>
    </row>
    <row r="96" spans="1:2" x14ac:dyDescent="0.3">
      <c r="A96" s="3" t="s">
        <v>25</v>
      </c>
      <c r="B96" s="4">
        <v>1944600</v>
      </c>
    </row>
    <row r="97" spans="1:2" x14ac:dyDescent="0.3">
      <c r="A97" s="3" t="s">
        <v>19</v>
      </c>
      <c r="B97" s="4">
        <v>1983900</v>
      </c>
    </row>
    <row r="98" spans="1:2" x14ac:dyDescent="0.3">
      <c r="A98" s="3" t="s">
        <v>14</v>
      </c>
      <c r="B98" s="4">
        <v>2731500</v>
      </c>
    </row>
    <row r="99" spans="1:2" x14ac:dyDescent="0.3">
      <c r="A99" s="3" t="s">
        <v>337</v>
      </c>
      <c r="B99" s="4">
        <v>6660000</v>
      </c>
    </row>
  </sheetData>
  <mergeCells count="2">
    <mergeCell ref="B1:C2"/>
    <mergeCell ref="H3:L5"/>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C3804-3348-4CB8-AC72-9126C2058104}">
  <dimension ref="A1"/>
  <sheetViews>
    <sheetView tabSelected="1" zoomScale="93" workbookViewId="0"/>
  </sheetViews>
  <sheetFormatPr defaultRowHeight="14.4" x14ac:dyDescent="0.3"/>
  <sheetData>
    <row r="1" spans="1:1" ht="18" x14ac:dyDescent="0.35">
      <c r="A1" s="8"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5A52-8ACD-4079-B1F0-260EC0CB68BB}">
  <dimension ref="A1:J301"/>
  <sheetViews>
    <sheetView topLeftCell="A2" workbookViewId="0">
      <selection activeCell="D301" sqref="D2:D301"/>
    </sheetView>
  </sheetViews>
  <sheetFormatPr defaultRowHeight="14.4" x14ac:dyDescent="0.3"/>
  <cols>
    <col min="1" max="1" width="10.21875" customWidth="1"/>
    <col min="2" max="2" width="10.33203125" bestFit="1" customWidth="1"/>
    <col min="3" max="3" width="16.77734375" customWidth="1"/>
    <col min="5" max="5" width="9.44140625" customWidth="1"/>
    <col min="6" max="6" width="10.21875" customWidth="1"/>
    <col min="7" max="7" width="10" customWidth="1"/>
    <col min="9" max="9" width="14.21875" customWidth="1"/>
    <col min="10" max="10" width="15.5546875" customWidth="1"/>
  </cols>
  <sheetData>
    <row r="1" spans="1:10" x14ac:dyDescent="0.3">
      <c r="A1" t="s">
        <v>0</v>
      </c>
      <c r="B1" t="s">
        <v>1</v>
      </c>
      <c r="C1" t="s">
        <v>2</v>
      </c>
      <c r="D1" t="s">
        <v>3</v>
      </c>
      <c r="E1" t="s">
        <v>4</v>
      </c>
      <c r="F1" t="s">
        <v>5</v>
      </c>
      <c r="G1" t="s">
        <v>6</v>
      </c>
      <c r="H1" t="s">
        <v>7</v>
      </c>
      <c r="I1" t="s">
        <v>8</v>
      </c>
      <c r="J1" t="s">
        <v>9</v>
      </c>
    </row>
    <row r="2" spans="1:10" x14ac:dyDescent="0.3">
      <c r="A2">
        <v>1001</v>
      </c>
      <c r="B2" s="1">
        <v>46036</v>
      </c>
      <c r="C2" t="s">
        <v>10</v>
      </c>
      <c r="D2" t="s">
        <v>11</v>
      </c>
      <c r="E2" t="s">
        <v>12</v>
      </c>
      <c r="F2" t="s">
        <v>13</v>
      </c>
      <c r="G2">
        <v>1</v>
      </c>
      <c r="H2">
        <v>15000</v>
      </c>
      <c r="I2">
        <v>15000</v>
      </c>
      <c r="J2" t="s">
        <v>14</v>
      </c>
    </row>
    <row r="3" spans="1:10" x14ac:dyDescent="0.3">
      <c r="A3">
        <v>1002</v>
      </c>
      <c r="B3" s="1">
        <v>46052</v>
      </c>
      <c r="C3" t="s">
        <v>15</v>
      </c>
      <c r="D3" t="s">
        <v>16</v>
      </c>
      <c r="E3" t="s">
        <v>17</v>
      </c>
      <c r="F3" t="s">
        <v>18</v>
      </c>
      <c r="G3">
        <v>3</v>
      </c>
      <c r="H3">
        <v>500</v>
      </c>
      <c r="I3">
        <v>1500</v>
      </c>
      <c r="J3" t="s">
        <v>19</v>
      </c>
    </row>
    <row r="4" spans="1:10" x14ac:dyDescent="0.3">
      <c r="A4">
        <v>1003</v>
      </c>
      <c r="B4" s="1">
        <v>46062</v>
      </c>
      <c r="C4" t="s">
        <v>20</v>
      </c>
      <c r="D4" t="s">
        <v>21</v>
      </c>
      <c r="E4" t="s">
        <v>17</v>
      </c>
      <c r="F4" t="s">
        <v>18</v>
      </c>
      <c r="G4">
        <v>2</v>
      </c>
      <c r="H4">
        <v>500</v>
      </c>
      <c r="I4">
        <v>1000</v>
      </c>
      <c r="J4" t="s">
        <v>19</v>
      </c>
    </row>
    <row r="5" spans="1:10" x14ac:dyDescent="0.3">
      <c r="A5">
        <v>1004</v>
      </c>
      <c r="B5" s="1">
        <v>46053</v>
      </c>
      <c r="C5" t="s">
        <v>22</v>
      </c>
      <c r="D5" t="s">
        <v>23</v>
      </c>
      <c r="E5" t="s">
        <v>24</v>
      </c>
      <c r="F5" t="s">
        <v>18</v>
      </c>
      <c r="G5">
        <v>1</v>
      </c>
      <c r="H5">
        <v>2000</v>
      </c>
      <c r="I5">
        <v>2000</v>
      </c>
      <c r="J5" t="s">
        <v>25</v>
      </c>
    </row>
    <row r="6" spans="1:10" x14ac:dyDescent="0.3">
      <c r="A6">
        <v>1005</v>
      </c>
      <c r="B6" s="1">
        <v>46083</v>
      </c>
      <c r="C6" t="s">
        <v>26</v>
      </c>
      <c r="D6" t="s">
        <v>27</v>
      </c>
      <c r="E6" t="s">
        <v>28</v>
      </c>
      <c r="F6" t="s">
        <v>13</v>
      </c>
      <c r="G6">
        <v>2</v>
      </c>
      <c r="H6">
        <v>7000</v>
      </c>
      <c r="I6">
        <v>14000</v>
      </c>
      <c r="J6" t="s">
        <v>14</v>
      </c>
    </row>
    <row r="7" spans="1:10" x14ac:dyDescent="0.3">
      <c r="A7">
        <v>1006</v>
      </c>
      <c r="B7" s="1">
        <v>46079</v>
      </c>
      <c r="C7" t="s">
        <v>29</v>
      </c>
      <c r="D7" t="s">
        <v>30</v>
      </c>
      <c r="E7" t="s">
        <v>28</v>
      </c>
      <c r="F7" t="s">
        <v>13</v>
      </c>
      <c r="G7">
        <v>3</v>
      </c>
      <c r="H7">
        <v>7000</v>
      </c>
      <c r="I7">
        <v>21000</v>
      </c>
      <c r="J7" t="s">
        <v>19</v>
      </c>
    </row>
    <row r="8" spans="1:10" x14ac:dyDescent="0.3">
      <c r="A8">
        <v>1007</v>
      </c>
      <c r="B8" s="1">
        <v>46070</v>
      </c>
      <c r="C8" t="s">
        <v>31</v>
      </c>
      <c r="D8" t="s">
        <v>21</v>
      </c>
      <c r="E8" t="s">
        <v>12</v>
      </c>
      <c r="F8" t="s">
        <v>13</v>
      </c>
      <c r="G8">
        <v>3</v>
      </c>
      <c r="H8">
        <v>15000</v>
      </c>
      <c r="I8">
        <v>45000</v>
      </c>
      <c r="J8" t="s">
        <v>14</v>
      </c>
    </row>
    <row r="9" spans="1:10" x14ac:dyDescent="0.3">
      <c r="A9">
        <v>1008</v>
      </c>
      <c r="B9" s="1">
        <v>46025</v>
      </c>
      <c r="C9" t="s">
        <v>32</v>
      </c>
      <c r="D9" t="s">
        <v>16</v>
      </c>
      <c r="E9" t="s">
        <v>28</v>
      </c>
      <c r="F9" t="s">
        <v>13</v>
      </c>
      <c r="G9">
        <v>2</v>
      </c>
      <c r="H9">
        <v>7000</v>
      </c>
      <c r="I9">
        <v>14000</v>
      </c>
      <c r="J9" t="s">
        <v>25</v>
      </c>
    </row>
    <row r="10" spans="1:10" x14ac:dyDescent="0.3">
      <c r="A10">
        <v>1009</v>
      </c>
      <c r="B10" s="1">
        <v>46052</v>
      </c>
      <c r="C10" t="s">
        <v>33</v>
      </c>
      <c r="D10" t="s">
        <v>11</v>
      </c>
      <c r="E10" t="s">
        <v>34</v>
      </c>
      <c r="F10" t="s">
        <v>18</v>
      </c>
      <c r="G10">
        <v>1</v>
      </c>
      <c r="H10">
        <v>1200</v>
      </c>
      <c r="I10">
        <v>1200</v>
      </c>
      <c r="J10" t="s">
        <v>14</v>
      </c>
    </row>
    <row r="11" spans="1:10" x14ac:dyDescent="0.3">
      <c r="A11">
        <v>1010</v>
      </c>
      <c r="B11" s="1">
        <v>46024</v>
      </c>
      <c r="C11" t="s">
        <v>35</v>
      </c>
      <c r="D11" t="s">
        <v>36</v>
      </c>
      <c r="E11" t="s">
        <v>37</v>
      </c>
      <c r="F11" t="s">
        <v>13</v>
      </c>
      <c r="G11">
        <v>3</v>
      </c>
      <c r="H11">
        <v>55000</v>
      </c>
      <c r="I11">
        <v>165000</v>
      </c>
      <c r="J11" t="s">
        <v>14</v>
      </c>
    </row>
    <row r="12" spans="1:10" x14ac:dyDescent="0.3">
      <c r="A12">
        <v>1011</v>
      </c>
      <c r="B12" s="1">
        <v>46031</v>
      </c>
      <c r="C12" t="s">
        <v>38</v>
      </c>
      <c r="D12" t="s">
        <v>39</v>
      </c>
      <c r="E12" t="s">
        <v>37</v>
      </c>
      <c r="F12" t="s">
        <v>13</v>
      </c>
      <c r="G12">
        <v>3</v>
      </c>
      <c r="H12">
        <v>55000</v>
      </c>
      <c r="I12">
        <v>165000</v>
      </c>
      <c r="J12" t="s">
        <v>14</v>
      </c>
    </row>
    <row r="13" spans="1:10" x14ac:dyDescent="0.3">
      <c r="A13">
        <v>1012</v>
      </c>
      <c r="B13" s="1">
        <v>46047</v>
      </c>
      <c r="C13" t="s">
        <v>40</v>
      </c>
      <c r="D13" t="s">
        <v>23</v>
      </c>
      <c r="E13" t="s">
        <v>12</v>
      </c>
      <c r="F13" t="s">
        <v>13</v>
      </c>
      <c r="G13">
        <v>3</v>
      </c>
      <c r="H13">
        <v>15000</v>
      </c>
      <c r="I13">
        <v>45000</v>
      </c>
      <c r="J13" t="s">
        <v>25</v>
      </c>
    </row>
    <row r="14" spans="1:10" x14ac:dyDescent="0.3">
      <c r="A14">
        <v>1013</v>
      </c>
      <c r="B14" s="1">
        <v>46027</v>
      </c>
      <c r="C14" t="s">
        <v>41</v>
      </c>
      <c r="D14" t="s">
        <v>23</v>
      </c>
      <c r="E14" t="s">
        <v>28</v>
      </c>
      <c r="F14" t="s">
        <v>13</v>
      </c>
      <c r="G14">
        <v>3</v>
      </c>
      <c r="H14">
        <v>7000</v>
      </c>
      <c r="I14">
        <v>21000</v>
      </c>
      <c r="J14" t="s">
        <v>25</v>
      </c>
    </row>
    <row r="15" spans="1:10" x14ac:dyDescent="0.3">
      <c r="A15">
        <v>1014</v>
      </c>
      <c r="B15" s="1">
        <v>46031</v>
      </c>
      <c r="C15" t="s">
        <v>42</v>
      </c>
      <c r="D15" t="s">
        <v>39</v>
      </c>
      <c r="E15" t="s">
        <v>43</v>
      </c>
      <c r="F15" t="s">
        <v>13</v>
      </c>
      <c r="G15">
        <v>2</v>
      </c>
      <c r="H15">
        <v>1500</v>
      </c>
      <c r="I15">
        <v>3000</v>
      </c>
      <c r="J15" t="s">
        <v>19</v>
      </c>
    </row>
    <row r="16" spans="1:10" x14ac:dyDescent="0.3">
      <c r="A16">
        <v>1015</v>
      </c>
      <c r="B16" s="1">
        <v>46030</v>
      </c>
      <c r="C16" t="s">
        <v>44</v>
      </c>
      <c r="D16" t="s">
        <v>11</v>
      </c>
      <c r="E16" t="s">
        <v>34</v>
      </c>
      <c r="F16" t="s">
        <v>18</v>
      </c>
      <c r="G16">
        <v>1</v>
      </c>
      <c r="H16">
        <v>1200</v>
      </c>
      <c r="I16">
        <v>1200</v>
      </c>
      <c r="J16" t="s">
        <v>19</v>
      </c>
    </row>
    <row r="17" spans="1:10" x14ac:dyDescent="0.3">
      <c r="A17">
        <v>1016</v>
      </c>
      <c r="B17" s="1">
        <v>46082</v>
      </c>
      <c r="C17" t="s">
        <v>45</v>
      </c>
      <c r="D17" t="s">
        <v>46</v>
      </c>
      <c r="E17" t="s">
        <v>28</v>
      </c>
      <c r="F17" t="s">
        <v>13</v>
      </c>
      <c r="G17">
        <v>2</v>
      </c>
      <c r="H17">
        <v>7000</v>
      </c>
      <c r="I17">
        <v>14000</v>
      </c>
      <c r="J17" t="s">
        <v>19</v>
      </c>
    </row>
    <row r="18" spans="1:10" x14ac:dyDescent="0.3">
      <c r="A18">
        <v>1017</v>
      </c>
      <c r="B18" s="1">
        <v>46035</v>
      </c>
      <c r="C18" t="s">
        <v>47</v>
      </c>
      <c r="D18" t="s">
        <v>16</v>
      </c>
      <c r="E18" t="s">
        <v>34</v>
      </c>
      <c r="F18" t="s">
        <v>18</v>
      </c>
      <c r="G18">
        <v>3</v>
      </c>
      <c r="H18">
        <v>1200</v>
      </c>
      <c r="I18">
        <v>3600</v>
      </c>
      <c r="J18" t="s">
        <v>19</v>
      </c>
    </row>
    <row r="19" spans="1:10" x14ac:dyDescent="0.3">
      <c r="A19">
        <v>1018</v>
      </c>
      <c r="B19" s="1">
        <v>46075</v>
      </c>
      <c r="C19" t="s">
        <v>48</v>
      </c>
      <c r="D19" t="s">
        <v>39</v>
      </c>
      <c r="E19" t="s">
        <v>49</v>
      </c>
      <c r="F19" t="s">
        <v>50</v>
      </c>
      <c r="G19">
        <v>1</v>
      </c>
      <c r="H19">
        <v>3000</v>
      </c>
      <c r="I19">
        <v>3000</v>
      </c>
      <c r="J19" t="s">
        <v>25</v>
      </c>
    </row>
    <row r="20" spans="1:10" x14ac:dyDescent="0.3">
      <c r="A20">
        <v>1019</v>
      </c>
      <c r="B20" s="1">
        <v>46083</v>
      </c>
      <c r="C20" t="s">
        <v>51</v>
      </c>
      <c r="D20" t="s">
        <v>36</v>
      </c>
      <c r="E20" t="s">
        <v>37</v>
      </c>
      <c r="F20" t="s">
        <v>13</v>
      </c>
      <c r="G20">
        <v>1</v>
      </c>
      <c r="H20">
        <v>55000</v>
      </c>
      <c r="I20">
        <v>55000</v>
      </c>
      <c r="J20" t="s">
        <v>19</v>
      </c>
    </row>
    <row r="21" spans="1:10" x14ac:dyDescent="0.3">
      <c r="A21">
        <v>1020</v>
      </c>
      <c r="B21" s="1">
        <v>46073</v>
      </c>
      <c r="C21" t="s">
        <v>52</v>
      </c>
      <c r="D21" t="s">
        <v>39</v>
      </c>
      <c r="E21" t="s">
        <v>43</v>
      </c>
      <c r="F21" t="s">
        <v>13</v>
      </c>
      <c r="G21">
        <v>1</v>
      </c>
      <c r="H21">
        <v>1500</v>
      </c>
      <c r="I21">
        <v>1500</v>
      </c>
      <c r="J21" t="s">
        <v>14</v>
      </c>
    </row>
    <row r="22" spans="1:10" x14ac:dyDescent="0.3">
      <c r="A22">
        <v>1021</v>
      </c>
      <c r="B22" s="1">
        <v>46062</v>
      </c>
      <c r="C22" t="s">
        <v>53</v>
      </c>
      <c r="D22" t="s">
        <v>54</v>
      </c>
      <c r="E22" t="s">
        <v>55</v>
      </c>
      <c r="F22" t="s">
        <v>50</v>
      </c>
      <c r="G22">
        <v>3</v>
      </c>
      <c r="H22">
        <v>2000</v>
      </c>
      <c r="I22">
        <v>6000</v>
      </c>
      <c r="J22" t="s">
        <v>14</v>
      </c>
    </row>
    <row r="23" spans="1:10" x14ac:dyDescent="0.3">
      <c r="A23">
        <v>1022</v>
      </c>
      <c r="B23" s="1">
        <v>46025</v>
      </c>
      <c r="C23" t="s">
        <v>56</v>
      </c>
      <c r="D23" t="s">
        <v>16</v>
      </c>
      <c r="E23" t="s">
        <v>37</v>
      </c>
      <c r="F23" t="s">
        <v>13</v>
      </c>
      <c r="G23">
        <v>1</v>
      </c>
      <c r="H23">
        <v>55000</v>
      </c>
      <c r="I23">
        <v>55000</v>
      </c>
      <c r="J23" t="s">
        <v>14</v>
      </c>
    </row>
    <row r="24" spans="1:10" x14ac:dyDescent="0.3">
      <c r="A24">
        <v>1023</v>
      </c>
      <c r="B24" s="1">
        <v>46043</v>
      </c>
      <c r="C24" t="s">
        <v>57</v>
      </c>
      <c r="D24" t="s">
        <v>46</v>
      </c>
      <c r="E24" t="s">
        <v>58</v>
      </c>
      <c r="F24" t="s">
        <v>13</v>
      </c>
      <c r="G24">
        <v>2</v>
      </c>
      <c r="H24">
        <v>20000</v>
      </c>
      <c r="I24">
        <v>40000</v>
      </c>
      <c r="J24" t="s">
        <v>25</v>
      </c>
    </row>
    <row r="25" spans="1:10" x14ac:dyDescent="0.3">
      <c r="A25">
        <v>1024</v>
      </c>
      <c r="B25" s="1">
        <v>46058</v>
      </c>
      <c r="C25" t="s">
        <v>59</v>
      </c>
      <c r="D25" t="s">
        <v>46</v>
      </c>
      <c r="E25" t="s">
        <v>43</v>
      </c>
      <c r="F25" t="s">
        <v>13</v>
      </c>
      <c r="G25">
        <v>2</v>
      </c>
      <c r="H25">
        <v>1500</v>
      </c>
      <c r="I25">
        <v>3000</v>
      </c>
      <c r="J25" t="s">
        <v>25</v>
      </c>
    </row>
    <row r="26" spans="1:10" x14ac:dyDescent="0.3">
      <c r="A26">
        <v>1025</v>
      </c>
      <c r="B26" s="1">
        <v>46028</v>
      </c>
      <c r="C26" t="s">
        <v>60</v>
      </c>
      <c r="D26" t="s">
        <v>27</v>
      </c>
      <c r="E26" t="s">
        <v>28</v>
      </c>
      <c r="F26" t="s">
        <v>13</v>
      </c>
      <c r="G26">
        <v>3</v>
      </c>
      <c r="H26">
        <v>7000</v>
      </c>
      <c r="I26">
        <v>21000</v>
      </c>
      <c r="J26" t="s">
        <v>25</v>
      </c>
    </row>
    <row r="27" spans="1:10" x14ac:dyDescent="0.3">
      <c r="A27">
        <v>1026</v>
      </c>
      <c r="B27" s="1">
        <v>46058</v>
      </c>
      <c r="C27" t="s">
        <v>61</v>
      </c>
      <c r="D27" t="s">
        <v>23</v>
      </c>
      <c r="E27" t="s">
        <v>34</v>
      </c>
      <c r="F27" t="s">
        <v>18</v>
      </c>
      <c r="G27">
        <v>1</v>
      </c>
      <c r="H27">
        <v>1200</v>
      </c>
      <c r="I27">
        <v>1200</v>
      </c>
      <c r="J27" t="s">
        <v>19</v>
      </c>
    </row>
    <row r="28" spans="1:10" x14ac:dyDescent="0.3">
      <c r="A28">
        <v>1027</v>
      </c>
      <c r="B28" s="1">
        <v>46027</v>
      </c>
      <c r="C28" t="s">
        <v>62</v>
      </c>
      <c r="D28" t="s">
        <v>46</v>
      </c>
      <c r="E28" t="s">
        <v>37</v>
      </c>
      <c r="F28" t="s">
        <v>13</v>
      </c>
      <c r="G28">
        <v>2</v>
      </c>
      <c r="H28">
        <v>55000</v>
      </c>
      <c r="I28">
        <v>110000</v>
      </c>
      <c r="J28" t="s">
        <v>25</v>
      </c>
    </row>
    <row r="29" spans="1:10" x14ac:dyDescent="0.3">
      <c r="A29">
        <v>1028</v>
      </c>
      <c r="B29" s="1">
        <v>46037</v>
      </c>
      <c r="C29" t="s">
        <v>63</v>
      </c>
      <c r="D29" t="s">
        <v>27</v>
      </c>
      <c r="E29" t="s">
        <v>55</v>
      </c>
      <c r="F29" t="s">
        <v>50</v>
      </c>
      <c r="G29">
        <v>2</v>
      </c>
      <c r="H29">
        <v>2000</v>
      </c>
      <c r="I29">
        <v>4000</v>
      </c>
      <c r="J29" t="s">
        <v>14</v>
      </c>
    </row>
    <row r="30" spans="1:10" x14ac:dyDescent="0.3">
      <c r="A30">
        <v>1029</v>
      </c>
      <c r="B30" s="1">
        <v>46039</v>
      </c>
      <c r="C30" t="s">
        <v>64</v>
      </c>
      <c r="D30" t="s">
        <v>30</v>
      </c>
      <c r="E30" t="s">
        <v>37</v>
      </c>
      <c r="F30" t="s">
        <v>13</v>
      </c>
      <c r="G30">
        <v>1</v>
      </c>
      <c r="H30">
        <v>55000</v>
      </c>
      <c r="I30">
        <v>55000</v>
      </c>
      <c r="J30" t="s">
        <v>14</v>
      </c>
    </row>
    <row r="31" spans="1:10" x14ac:dyDescent="0.3">
      <c r="A31">
        <v>1030</v>
      </c>
      <c r="B31" s="1">
        <v>46032</v>
      </c>
      <c r="C31" t="s">
        <v>65</v>
      </c>
      <c r="D31" t="s">
        <v>30</v>
      </c>
      <c r="E31" t="s">
        <v>49</v>
      </c>
      <c r="F31" t="s">
        <v>50</v>
      </c>
      <c r="G31">
        <v>3</v>
      </c>
      <c r="H31">
        <v>3000</v>
      </c>
      <c r="I31">
        <v>9000</v>
      </c>
      <c r="J31" t="s">
        <v>19</v>
      </c>
    </row>
    <row r="32" spans="1:10" x14ac:dyDescent="0.3">
      <c r="A32">
        <v>1031</v>
      </c>
      <c r="B32" s="1">
        <v>46026</v>
      </c>
      <c r="C32" t="s">
        <v>66</v>
      </c>
      <c r="D32" t="s">
        <v>46</v>
      </c>
      <c r="E32" t="s">
        <v>12</v>
      </c>
      <c r="F32" t="s">
        <v>13</v>
      </c>
      <c r="G32">
        <v>3</v>
      </c>
      <c r="H32">
        <v>15000</v>
      </c>
      <c r="I32">
        <v>45000</v>
      </c>
      <c r="J32" t="s">
        <v>25</v>
      </c>
    </row>
    <row r="33" spans="1:10" x14ac:dyDescent="0.3">
      <c r="A33">
        <v>1032</v>
      </c>
      <c r="B33" s="1">
        <v>46080</v>
      </c>
      <c r="C33" t="s">
        <v>67</v>
      </c>
      <c r="D33" t="s">
        <v>23</v>
      </c>
      <c r="E33" t="s">
        <v>43</v>
      </c>
      <c r="F33" t="s">
        <v>13</v>
      </c>
      <c r="G33">
        <v>1</v>
      </c>
      <c r="H33">
        <v>1500</v>
      </c>
      <c r="I33">
        <v>1500</v>
      </c>
      <c r="J33" t="s">
        <v>14</v>
      </c>
    </row>
    <row r="34" spans="1:10" x14ac:dyDescent="0.3">
      <c r="A34">
        <v>1033</v>
      </c>
      <c r="B34" s="1">
        <v>46078</v>
      </c>
      <c r="C34" t="s">
        <v>68</v>
      </c>
      <c r="D34" t="s">
        <v>54</v>
      </c>
      <c r="E34" t="s">
        <v>49</v>
      </c>
      <c r="F34" t="s">
        <v>50</v>
      </c>
      <c r="G34">
        <v>2</v>
      </c>
      <c r="H34">
        <v>3000</v>
      </c>
      <c r="I34">
        <v>6000</v>
      </c>
      <c r="J34" t="s">
        <v>14</v>
      </c>
    </row>
    <row r="35" spans="1:10" x14ac:dyDescent="0.3">
      <c r="A35">
        <v>1034</v>
      </c>
      <c r="B35" s="1">
        <v>46024</v>
      </c>
      <c r="C35" t="s">
        <v>69</v>
      </c>
      <c r="D35" t="s">
        <v>346</v>
      </c>
      <c r="E35" t="s">
        <v>49</v>
      </c>
      <c r="F35" t="s">
        <v>50</v>
      </c>
      <c r="G35">
        <v>1</v>
      </c>
      <c r="H35">
        <v>3000</v>
      </c>
      <c r="I35">
        <v>3000</v>
      </c>
      <c r="J35" t="s">
        <v>14</v>
      </c>
    </row>
    <row r="36" spans="1:10" x14ac:dyDescent="0.3">
      <c r="A36">
        <v>1035</v>
      </c>
      <c r="B36" s="1">
        <v>46029</v>
      </c>
      <c r="C36" t="s">
        <v>70</v>
      </c>
      <c r="D36" t="s">
        <v>21</v>
      </c>
      <c r="E36" t="s">
        <v>17</v>
      </c>
      <c r="F36" t="s">
        <v>18</v>
      </c>
      <c r="G36">
        <v>2</v>
      </c>
      <c r="H36">
        <v>500</v>
      </c>
      <c r="I36">
        <v>1000</v>
      </c>
      <c r="J36" t="s">
        <v>25</v>
      </c>
    </row>
    <row r="37" spans="1:10" x14ac:dyDescent="0.3">
      <c r="A37">
        <v>1036</v>
      </c>
      <c r="B37" s="1">
        <v>46026</v>
      </c>
      <c r="C37" t="s">
        <v>71</v>
      </c>
      <c r="D37" t="s">
        <v>30</v>
      </c>
      <c r="E37" t="s">
        <v>49</v>
      </c>
      <c r="F37" t="s">
        <v>50</v>
      </c>
      <c r="G37">
        <v>2</v>
      </c>
      <c r="H37">
        <v>3000</v>
      </c>
      <c r="I37">
        <v>6000</v>
      </c>
      <c r="J37" t="s">
        <v>14</v>
      </c>
    </row>
    <row r="38" spans="1:10" x14ac:dyDescent="0.3">
      <c r="A38">
        <v>1037</v>
      </c>
      <c r="B38" s="1">
        <v>46024</v>
      </c>
      <c r="C38" t="s">
        <v>72</v>
      </c>
      <c r="D38" t="s">
        <v>54</v>
      </c>
      <c r="E38" t="s">
        <v>17</v>
      </c>
      <c r="F38" t="s">
        <v>18</v>
      </c>
      <c r="G38">
        <v>3</v>
      </c>
      <c r="H38">
        <v>500</v>
      </c>
      <c r="I38">
        <v>1500</v>
      </c>
      <c r="J38" t="s">
        <v>14</v>
      </c>
    </row>
    <row r="39" spans="1:10" x14ac:dyDescent="0.3">
      <c r="A39">
        <v>1038</v>
      </c>
      <c r="B39" s="1">
        <v>46025</v>
      </c>
      <c r="C39" t="s">
        <v>73</v>
      </c>
      <c r="D39" t="s">
        <v>27</v>
      </c>
      <c r="E39" t="s">
        <v>12</v>
      </c>
      <c r="F39" t="s">
        <v>13</v>
      </c>
      <c r="G39">
        <v>3</v>
      </c>
      <c r="H39">
        <v>15000</v>
      </c>
      <c r="I39">
        <v>45000</v>
      </c>
      <c r="J39" t="s">
        <v>25</v>
      </c>
    </row>
    <row r="40" spans="1:10" x14ac:dyDescent="0.3">
      <c r="A40">
        <v>1039</v>
      </c>
      <c r="B40" s="1">
        <v>46033</v>
      </c>
      <c r="C40" t="s">
        <v>74</v>
      </c>
      <c r="D40" t="s">
        <v>54</v>
      </c>
      <c r="E40" t="s">
        <v>43</v>
      </c>
      <c r="F40" t="s">
        <v>13</v>
      </c>
      <c r="G40">
        <v>2</v>
      </c>
      <c r="H40">
        <v>1500</v>
      </c>
      <c r="I40">
        <v>3000</v>
      </c>
      <c r="J40" t="s">
        <v>25</v>
      </c>
    </row>
    <row r="41" spans="1:10" x14ac:dyDescent="0.3">
      <c r="A41">
        <v>1040</v>
      </c>
      <c r="B41" s="1">
        <v>46054</v>
      </c>
      <c r="C41" t="s">
        <v>75</v>
      </c>
      <c r="D41" t="s">
        <v>54</v>
      </c>
      <c r="E41" t="s">
        <v>12</v>
      </c>
      <c r="F41" t="s">
        <v>13</v>
      </c>
      <c r="G41">
        <v>1</v>
      </c>
      <c r="H41">
        <v>15000</v>
      </c>
      <c r="I41">
        <v>15000</v>
      </c>
      <c r="J41" t="s">
        <v>14</v>
      </c>
    </row>
    <row r="42" spans="1:10" x14ac:dyDescent="0.3">
      <c r="A42">
        <v>1041</v>
      </c>
      <c r="B42" s="1">
        <v>46058</v>
      </c>
      <c r="C42" t="s">
        <v>76</v>
      </c>
      <c r="D42" t="s">
        <v>30</v>
      </c>
      <c r="E42" t="s">
        <v>49</v>
      </c>
      <c r="F42" t="s">
        <v>50</v>
      </c>
      <c r="G42">
        <v>3</v>
      </c>
      <c r="H42">
        <v>3000</v>
      </c>
      <c r="I42">
        <v>9000</v>
      </c>
      <c r="J42" t="s">
        <v>14</v>
      </c>
    </row>
    <row r="43" spans="1:10" x14ac:dyDescent="0.3">
      <c r="A43">
        <v>1042</v>
      </c>
      <c r="B43" s="1">
        <v>46040</v>
      </c>
      <c r="C43" t="s">
        <v>77</v>
      </c>
      <c r="D43" t="s">
        <v>27</v>
      </c>
      <c r="E43" t="s">
        <v>24</v>
      </c>
      <c r="F43" t="s">
        <v>18</v>
      </c>
      <c r="G43">
        <v>1</v>
      </c>
      <c r="H43">
        <v>2000</v>
      </c>
      <c r="I43">
        <v>2000</v>
      </c>
      <c r="J43" t="s">
        <v>25</v>
      </c>
    </row>
    <row r="44" spans="1:10" x14ac:dyDescent="0.3">
      <c r="A44">
        <v>1043</v>
      </c>
      <c r="B44" s="1">
        <v>46028</v>
      </c>
      <c r="C44" t="s">
        <v>78</v>
      </c>
      <c r="D44" t="s">
        <v>16</v>
      </c>
      <c r="E44" t="s">
        <v>58</v>
      </c>
      <c r="F44" t="s">
        <v>13</v>
      </c>
      <c r="G44">
        <v>1</v>
      </c>
      <c r="H44">
        <v>20000</v>
      </c>
      <c r="I44">
        <v>20000</v>
      </c>
      <c r="J44" t="s">
        <v>14</v>
      </c>
    </row>
    <row r="45" spans="1:10" x14ac:dyDescent="0.3">
      <c r="A45">
        <v>1044</v>
      </c>
      <c r="B45" s="1">
        <v>46078</v>
      </c>
      <c r="C45" t="s">
        <v>79</v>
      </c>
      <c r="D45" t="s">
        <v>21</v>
      </c>
      <c r="E45" t="s">
        <v>58</v>
      </c>
      <c r="F45" t="s">
        <v>13</v>
      </c>
      <c r="G45">
        <v>3</v>
      </c>
      <c r="H45">
        <v>20000</v>
      </c>
      <c r="I45">
        <v>60000</v>
      </c>
      <c r="J45" t="s">
        <v>14</v>
      </c>
    </row>
    <row r="46" spans="1:10" x14ac:dyDescent="0.3">
      <c r="A46">
        <v>1045</v>
      </c>
      <c r="B46" s="1">
        <v>46057</v>
      </c>
      <c r="C46" t="s">
        <v>80</v>
      </c>
      <c r="D46" t="s">
        <v>30</v>
      </c>
      <c r="E46" t="s">
        <v>24</v>
      </c>
      <c r="F46" t="s">
        <v>18</v>
      </c>
      <c r="G46">
        <v>3</v>
      </c>
      <c r="H46">
        <v>2000</v>
      </c>
      <c r="I46">
        <v>6000</v>
      </c>
      <c r="J46" t="s">
        <v>25</v>
      </c>
    </row>
    <row r="47" spans="1:10" x14ac:dyDescent="0.3">
      <c r="A47">
        <v>1046</v>
      </c>
      <c r="B47" s="1">
        <v>46051</v>
      </c>
      <c r="C47" t="s">
        <v>81</v>
      </c>
      <c r="D47" t="s">
        <v>23</v>
      </c>
      <c r="E47" t="s">
        <v>17</v>
      </c>
      <c r="F47" t="s">
        <v>18</v>
      </c>
      <c r="G47">
        <v>3</v>
      </c>
      <c r="H47">
        <v>500</v>
      </c>
      <c r="I47">
        <v>1500</v>
      </c>
      <c r="J47" t="s">
        <v>25</v>
      </c>
    </row>
    <row r="48" spans="1:10" x14ac:dyDescent="0.3">
      <c r="A48">
        <v>1047</v>
      </c>
      <c r="B48" s="1">
        <v>46051</v>
      </c>
      <c r="C48" t="s">
        <v>82</v>
      </c>
      <c r="D48" t="s">
        <v>16</v>
      </c>
      <c r="E48" t="s">
        <v>49</v>
      </c>
      <c r="F48" t="s">
        <v>50</v>
      </c>
      <c r="G48">
        <v>3</v>
      </c>
      <c r="H48">
        <v>3000</v>
      </c>
      <c r="I48">
        <v>9000</v>
      </c>
      <c r="J48" t="s">
        <v>25</v>
      </c>
    </row>
    <row r="49" spans="1:10" x14ac:dyDescent="0.3">
      <c r="A49">
        <v>1048</v>
      </c>
      <c r="B49" s="1">
        <v>46067</v>
      </c>
      <c r="C49" t="s">
        <v>83</v>
      </c>
      <c r="D49" t="s">
        <v>30</v>
      </c>
      <c r="E49" t="s">
        <v>12</v>
      </c>
      <c r="F49" t="s">
        <v>13</v>
      </c>
      <c r="G49">
        <v>2</v>
      </c>
      <c r="H49">
        <v>15000</v>
      </c>
      <c r="I49">
        <v>30000</v>
      </c>
      <c r="J49" t="s">
        <v>14</v>
      </c>
    </row>
    <row r="50" spans="1:10" x14ac:dyDescent="0.3">
      <c r="A50">
        <v>1049</v>
      </c>
      <c r="B50" s="1">
        <v>46023</v>
      </c>
      <c r="C50" t="s">
        <v>84</v>
      </c>
      <c r="D50" t="s">
        <v>36</v>
      </c>
      <c r="E50" t="s">
        <v>58</v>
      </c>
      <c r="F50" t="s">
        <v>13</v>
      </c>
      <c r="G50">
        <v>1</v>
      </c>
      <c r="H50">
        <v>20000</v>
      </c>
      <c r="I50">
        <v>20000</v>
      </c>
      <c r="J50" t="s">
        <v>25</v>
      </c>
    </row>
    <row r="51" spans="1:10" x14ac:dyDescent="0.3">
      <c r="A51">
        <v>1050</v>
      </c>
      <c r="B51" s="1">
        <v>46045</v>
      </c>
      <c r="C51" t="s">
        <v>85</v>
      </c>
      <c r="D51" t="s">
        <v>27</v>
      </c>
      <c r="E51" t="s">
        <v>24</v>
      </c>
      <c r="F51" t="s">
        <v>18</v>
      </c>
      <c r="G51">
        <v>1</v>
      </c>
      <c r="H51">
        <v>2000</v>
      </c>
      <c r="I51">
        <v>2000</v>
      </c>
      <c r="J51" t="s">
        <v>25</v>
      </c>
    </row>
    <row r="52" spans="1:10" x14ac:dyDescent="0.3">
      <c r="A52">
        <v>1051</v>
      </c>
      <c r="B52" s="1">
        <v>46050</v>
      </c>
      <c r="C52" t="s">
        <v>86</v>
      </c>
      <c r="D52" t="s">
        <v>36</v>
      </c>
      <c r="E52" t="s">
        <v>17</v>
      </c>
      <c r="F52" t="s">
        <v>18</v>
      </c>
      <c r="G52">
        <v>1</v>
      </c>
      <c r="H52">
        <v>500</v>
      </c>
      <c r="I52">
        <v>500</v>
      </c>
      <c r="J52" t="s">
        <v>19</v>
      </c>
    </row>
    <row r="53" spans="1:10" x14ac:dyDescent="0.3">
      <c r="A53">
        <v>1052</v>
      </c>
      <c r="B53" s="1">
        <v>46029</v>
      </c>
      <c r="C53" t="s">
        <v>87</v>
      </c>
      <c r="D53" t="s">
        <v>30</v>
      </c>
      <c r="E53" t="s">
        <v>12</v>
      </c>
      <c r="F53" t="s">
        <v>13</v>
      </c>
      <c r="G53">
        <v>1</v>
      </c>
      <c r="H53">
        <v>15000</v>
      </c>
      <c r="I53">
        <v>15000</v>
      </c>
      <c r="J53" t="s">
        <v>25</v>
      </c>
    </row>
    <row r="54" spans="1:10" x14ac:dyDescent="0.3">
      <c r="A54">
        <v>1053</v>
      </c>
      <c r="B54" s="1">
        <v>46027</v>
      </c>
      <c r="C54" t="s">
        <v>88</v>
      </c>
      <c r="D54" t="s">
        <v>16</v>
      </c>
      <c r="E54" t="s">
        <v>37</v>
      </c>
      <c r="F54" t="s">
        <v>13</v>
      </c>
      <c r="G54">
        <v>3</v>
      </c>
      <c r="H54">
        <v>55000</v>
      </c>
      <c r="I54">
        <v>165000</v>
      </c>
      <c r="J54" t="s">
        <v>19</v>
      </c>
    </row>
    <row r="55" spans="1:10" x14ac:dyDescent="0.3">
      <c r="A55">
        <v>1054</v>
      </c>
      <c r="B55" s="1">
        <v>46033</v>
      </c>
      <c r="C55" t="s">
        <v>89</v>
      </c>
      <c r="D55" t="s">
        <v>54</v>
      </c>
      <c r="E55" t="s">
        <v>55</v>
      </c>
      <c r="F55" t="s">
        <v>50</v>
      </c>
      <c r="G55">
        <v>3</v>
      </c>
      <c r="H55">
        <v>2000</v>
      </c>
      <c r="I55">
        <v>6000</v>
      </c>
      <c r="J55" t="s">
        <v>19</v>
      </c>
    </row>
    <row r="56" spans="1:10" x14ac:dyDescent="0.3">
      <c r="A56">
        <v>1055</v>
      </c>
      <c r="B56" s="1">
        <v>46080</v>
      </c>
      <c r="C56" t="s">
        <v>90</v>
      </c>
      <c r="D56" t="s">
        <v>23</v>
      </c>
      <c r="E56" t="s">
        <v>12</v>
      </c>
      <c r="F56" t="s">
        <v>13</v>
      </c>
      <c r="G56">
        <v>2</v>
      </c>
      <c r="H56">
        <v>15000</v>
      </c>
      <c r="I56">
        <v>30000</v>
      </c>
      <c r="J56" t="s">
        <v>25</v>
      </c>
    </row>
    <row r="57" spans="1:10" x14ac:dyDescent="0.3">
      <c r="A57">
        <v>1056</v>
      </c>
      <c r="B57" s="1">
        <v>46037</v>
      </c>
      <c r="C57" t="s">
        <v>91</v>
      </c>
      <c r="D57" t="s">
        <v>36</v>
      </c>
      <c r="E57" t="s">
        <v>12</v>
      </c>
      <c r="F57" t="s">
        <v>13</v>
      </c>
      <c r="G57">
        <v>2</v>
      </c>
      <c r="H57">
        <v>15000</v>
      </c>
      <c r="I57">
        <v>30000</v>
      </c>
      <c r="J57" t="s">
        <v>14</v>
      </c>
    </row>
    <row r="58" spans="1:10" x14ac:dyDescent="0.3">
      <c r="A58">
        <v>1057</v>
      </c>
      <c r="B58" s="1">
        <v>46063</v>
      </c>
      <c r="C58" t="s">
        <v>92</v>
      </c>
      <c r="D58" t="s">
        <v>54</v>
      </c>
      <c r="E58" t="s">
        <v>17</v>
      </c>
      <c r="F58" t="s">
        <v>18</v>
      </c>
      <c r="G58">
        <v>3</v>
      </c>
      <c r="H58">
        <v>500</v>
      </c>
      <c r="I58">
        <v>1500</v>
      </c>
      <c r="J58" t="s">
        <v>14</v>
      </c>
    </row>
    <row r="59" spans="1:10" x14ac:dyDescent="0.3">
      <c r="A59">
        <v>1058</v>
      </c>
      <c r="B59" s="1">
        <v>46029</v>
      </c>
      <c r="C59" t="s">
        <v>93</v>
      </c>
      <c r="D59" t="s">
        <v>54</v>
      </c>
      <c r="E59" t="s">
        <v>24</v>
      </c>
      <c r="F59" t="s">
        <v>18</v>
      </c>
      <c r="G59">
        <v>2</v>
      </c>
      <c r="H59">
        <v>2000</v>
      </c>
      <c r="I59">
        <v>4000</v>
      </c>
      <c r="J59" t="s">
        <v>25</v>
      </c>
    </row>
    <row r="60" spans="1:10" x14ac:dyDescent="0.3">
      <c r="A60">
        <v>1059</v>
      </c>
      <c r="B60" s="1">
        <v>46031</v>
      </c>
      <c r="C60" t="s">
        <v>94</v>
      </c>
      <c r="D60" t="s">
        <v>23</v>
      </c>
      <c r="E60" t="s">
        <v>28</v>
      </c>
      <c r="F60" t="s">
        <v>13</v>
      </c>
      <c r="G60">
        <v>3</v>
      </c>
      <c r="H60">
        <v>7000</v>
      </c>
      <c r="I60">
        <v>21000</v>
      </c>
      <c r="J60" t="s">
        <v>14</v>
      </c>
    </row>
    <row r="61" spans="1:10" x14ac:dyDescent="0.3">
      <c r="A61">
        <v>1060</v>
      </c>
      <c r="B61" s="1">
        <v>46032</v>
      </c>
      <c r="C61" t="s">
        <v>95</v>
      </c>
      <c r="D61" t="s">
        <v>23</v>
      </c>
      <c r="E61" t="s">
        <v>28</v>
      </c>
      <c r="F61" t="s">
        <v>13</v>
      </c>
      <c r="G61">
        <v>2</v>
      </c>
      <c r="H61">
        <v>7000</v>
      </c>
      <c r="I61">
        <v>14000</v>
      </c>
      <c r="J61" t="s">
        <v>25</v>
      </c>
    </row>
    <row r="62" spans="1:10" x14ac:dyDescent="0.3">
      <c r="A62">
        <v>1061</v>
      </c>
      <c r="B62" s="1">
        <v>46075</v>
      </c>
      <c r="C62" t="s">
        <v>96</v>
      </c>
      <c r="D62" t="s">
        <v>27</v>
      </c>
      <c r="E62" t="s">
        <v>58</v>
      </c>
      <c r="F62" t="s">
        <v>13</v>
      </c>
      <c r="G62">
        <v>3</v>
      </c>
      <c r="H62">
        <v>20000</v>
      </c>
      <c r="I62">
        <v>60000</v>
      </c>
      <c r="J62" t="s">
        <v>19</v>
      </c>
    </row>
    <row r="63" spans="1:10" x14ac:dyDescent="0.3">
      <c r="A63">
        <v>1062</v>
      </c>
      <c r="B63" s="1">
        <v>46069</v>
      </c>
      <c r="C63" t="s">
        <v>97</v>
      </c>
      <c r="D63" t="s">
        <v>39</v>
      </c>
      <c r="E63" t="s">
        <v>55</v>
      </c>
      <c r="F63" t="s">
        <v>50</v>
      </c>
      <c r="G63">
        <v>3</v>
      </c>
      <c r="H63">
        <v>2000</v>
      </c>
      <c r="I63">
        <v>6000</v>
      </c>
      <c r="J63" t="s">
        <v>25</v>
      </c>
    </row>
    <row r="64" spans="1:10" x14ac:dyDescent="0.3">
      <c r="A64">
        <v>1063</v>
      </c>
      <c r="B64" s="1">
        <v>46073</v>
      </c>
      <c r="C64" t="s">
        <v>98</v>
      </c>
      <c r="D64" t="s">
        <v>54</v>
      </c>
      <c r="E64" t="s">
        <v>34</v>
      </c>
      <c r="F64" t="s">
        <v>18</v>
      </c>
      <c r="G64">
        <v>1</v>
      </c>
      <c r="H64">
        <v>1200</v>
      </c>
      <c r="I64">
        <v>1200</v>
      </c>
      <c r="J64" t="s">
        <v>19</v>
      </c>
    </row>
    <row r="65" spans="1:10" x14ac:dyDescent="0.3">
      <c r="A65">
        <v>1064</v>
      </c>
      <c r="B65" s="1">
        <v>46043</v>
      </c>
      <c r="C65" t="s">
        <v>99</v>
      </c>
      <c r="D65" t="s">
        <v>30</v>
      </c>
      <c r="E65" t="s">
        <v>12</v>
      </c>
      <c r="F65" t="s">
        <v>13</v>
      </c>
      <c r="G65">
        <v>2</v>
      </c>
      <c r="H65">
        <v>15000</v>
      </c>
      <c r="I65">
        <v>30000</v>
      </c>
      <c r="J65" t="s">
        <v>19</v>
      </c>
    </row>
    <row r="66" spans="1:10" x14ac:dyDescent="0.3">
      <c r="A66">
        <v>1065</v>
      </c>
      <c r="B66" s="1">
        <v>46025</v>
      </c>
      <c r="C66" t="s">
        <v>100</v>
      </c>
      <c r="D66" t="s">
        <v>39</v>
      </c>
      <c r="E66" t="s">
        <v>34</v>
      </c>
      <c r="F66" t="s">
        <v>18</v>
      </c>
      <c r="G66">
        <v>3</v>
      </c>
      <c r="H66">
        <v>1200</v>
      </c>
      <c r="I66">
        <v>3600</v>
      </c>
      <c r="J66" t="s">
        <v>14</v>
      </c>
    </row>
    <row r="67" spans="1:10" x14ac:dyDescent="0.3">
      <c r="A67">
        <v>1066</v>
      </c>
      <c r="B67" s="1">
        <v>46078</v>
      </c>
      <c r="C67" t="s">
        <v>101</v>
      </c>
      <c r="D67" t="s">
        <v>11</v>
      </c>
      <c r="E67" t="s">
        <v>17</v>
      </c>
      <c r="F67" t="s">
        <v>18</v>
      </c>
      <c r="G67">
        <v>3</v>
      </c>
      <c r="H67">
        <v>500</v>
      </c>
      <c r="I67">
        <v>1500</v>
      </c>
      <c r="J67" t="s">
        <v>19</v>
      </c>
    </row>
    <row r="68" spans="1:10" x14ac:dyDescent="0.3">
      <c r="A68">
        <v>1067</v>
      </c>
      <c r="B68" s="1">
        <v>46035</v>
      </c>
      <c r="C68" t="s">
        <v>102</v>
      </c>
      <c r="D68" t="s">
        <v>39</v>
      </c>
      <c r="E68" t="s">
        <v>28</v>
      </c>
      <c r="F68" t="s">
        <v>13</v>
      </c>
      <c r="G68">
        <v>2</v>
      </c>
      <c r="H68">
        <v>7000</v>
      </c>
      <c r="I68">
        <v>14000</v>
      </c>
      <c r="J68" t="s">
        <v>19</v>
      </c>
    </row>
    <row r="69" spans="1:10" x14ac:dyDescent="0.3">
      <c r="A69">
        <v>1068</v>
      </c>
      <c r="B69" s="1">
        <v>46075</v>
      </c>
      <c r="C69" t="s">
        <v>103</v>
      </c>
      <c r="D69" t="s">
        <v>30</v>
      </c>
      <c r="E69" t="s">
        <v>34</v>
      </c>
      <c r="F69" t="s">
        <v>18</v>
      </c>
      <c r="G69">
        <v>1</v>
      </c>
      <c r="H69">
        <v>1200</v>
      </c>
      <c r="I69">
        <v>1200</v>
      </c>
      <c r="J69" t="s">
        <v>14</v>
      </c>
    </row>
    <row r="70" spans="1:10" x14ac:dyDescent="0.3">
      <c r="A70">
        <v>1069</v>
      </c>
      <c r="B70" s="1">
        <v>46062</v>
      </c>
      <c r="C70" t="s">
        <v>104</v>
      </c>
      <c r="D70" t="s">
        <v>21</v>
      </c>
      <c r="E70" t="s">
        <v>37</v>
      </c>
      <c r="F70" t="s">
        <v>13</v>
      </c>
      <c r="G70">
        <v>3</v>
      </c>
      <c r="H70">
        <v>55000</v>
      </c>
      <c r="I70">
        <v>165000</v>
      </c>
      <c r="J70" t="s">
        <v>25</v>
      </c>
    </row>
    <row r="71" spans="1:10" x14ac:dyDescent="0.3">
      <c r="A71">
        <v>1070</v>
      </c>
      <c r="B71" s="1">
        <v>46035</v>
      </c>
      <c r="C71" t="s">
        <v>105</v>
      </c>
      <c r="D71" t="s">
        <v>39</v>
      </c>
      <c r="E71" t="s">
        <v>55</v>
      </c>
      <c r="F71" t="s">
        <v>50</v>
      </c>
      <c r="G71">
        <v>3</v>
      </c>
      <c r="H71">
        <v>2000</v>
      </c>
      <c r="I71">
        <v>6000</v>
      </c>
      <c r="J71" t="s">
        <v>14</v>
      </c>
    </row>
    <row r="72" spans="1:10" x14ac:dyDescent="0.3">
      <c r="A72">
        <v>1071</v>
      </c>
      <c r="B72" s="1">
        <v>46036</v>
      </c>
      <c r="C72" t="s">
        <v>106</v>
      </c>
      <c r="D72" t="s">
        <v>21</v>
      </c>
      <c r="E72" t="s">
        <v>49</v>
      </c>
      <c r="F72" t="s">
        <v>50</v>
      </c>
      <c r="G72">
        <v>2</v>
      </c>
      <c r="H72">
        <v>3000</v>
      </c>
      <c r="I72">
        <v>6000</v>
      </c>
      <c r="J72" t="s">
        <v>14</v>
      </c>
    </row>
    <row r="73" spans="1:10" x14ac:dyDescent="0.3">
      <c r="A73">
        <v>1072</v>
      </c>
      <c r="B73" s="1">
        <v>46054</v>
      </c>
      <c r="C73" t="s">
        <v>107</v>
      </c>
      <c r="D73" t="s">
        <v>23</v>
      </c>
      <c r="E73" t="s">
        <v>58</v>
      </c>
      <c r="F73" t="s">
        <v>13</v>
      </c>
      <c r="G73">
        <v>2</v>
      </c>
      <c r="H73">
        <v>20000</v>
      </c>
      <c r="I73">
        <v>40000</v>
      </c>
      <c r="J73" t="s">
        <v>19</v>
      </c>
    </row>
    <row r="74" spans="1:10" x14ac:dyDescent="0.3">
      <c r="A74">
        <v>1073</v>
      </c>
      <c r="B74" s="1">
        <v>46039</v>
      </c>
      <c r="C74" t="s">
        <v>108</v>
      </c>
      <c r="D74" t="s">
        <v>23</v>
      </c>
      <c r="E74" t="s">
        <v>43</v>
      </c>
      <c r="F74" t="s">
        <v>13</v>
      </c>
      <c r="G74">
        <v>1</v>
      </c>
      <c r="H74">
        <v>1500</v>
      </c>
      <c r="I74">
        <v>1500</v>
      </c>
      <c r="J74" t="s">
        <v>14</v>
      </c>
    </row>
    <row r="75" spans="1:10" x14ac:dyDescent="0.3">
      <c r="A75">
        <v>1074</v>
      </c>
      <c r="B75" s="1">
        <v>46083</v>
      </c>
      <c r="C75" t="s">
        <v>109</v>
      </c>
      <c r="D75" t="s">
        <v>16</v>
      </c>
      <c r="E75" t="s">
        <v>17</v>
      </c>
      <c r="F75" t="s">
        <v>18</v>
      </c>
      <c r="G75">
        <v>3</v>
      </c>
      <c r="H75">
        <v>500</v>
      </c>
      <c r="I75">
        <v>1500</v>
      </c>
      <c r="J75" t="s">
        <v>14</v>
      </c>
    </row>
    <row r="76" spans="1:10" x14ac:dyDescent="0.3">
      <c r="A76">
        <v>1075</v>
      </c>
      <c r="B76" s="1">
        <v>46053</v>
      </c>
      <c r="C76" t="s">
        <v>110</v>
      </c>
      <c r="D76" t="s">
        <v>11</v>
      </c>
      <c r="E76" t="s">
        <v>43</v>
      </c>
      <c r="F76" t="s">
        <v>13</v>
      </c>
      <c r="G76">
        <v>3</v>
      </c>
      <c r="H76">
        <v>1500</v>
      </c>
      <c r="I76">
        <v>4500</v>
      </c>
      <c r="J76" t="s">
        <v>19</v>
      </c>
    </row>
    <row r="77" spans="1:10" x14ac:dyDescent="0.3">
      <c r="A77">
        <v>1076</v>
      </c>
      <c r="B77" s="1">
        <v>46056</v>
      </c>
      <c r="C77" t="s">
        <v>111</v>
      </c>
      <c r="D77" t="s">
        <v>54</v>
      </c>
      <c r="E77" t="s">
        <v>28</v>
      </c>
      <c r="F77" t="s">
        <v>13</v>
      </c>
      <c r="G77">
        <v>3</v>
      </c>
      <c r="H77">
        <v>7000</v>
      </c>
      <c r="I77">
        <v>21000</v>
      </c>
      <c r="J77" t="s">
        <v>19</v>
      </c>
    </row>
    <row r="78" spans="1:10" x14ac:dyDescent="0.3">
      <c r="A78">
        <v>1077</v>
      </c>
      <c r="B78" s="1">
        <v>46024</v>
      </c>
      <c r="C78" t="s">
        <v>112</v>
      </c>
      <c r="D78" t="s">
        <v>46</v>
      </c>
      <c r="E78" t="s">
        <v>37</v>
      </c>
      <c r="F78" t="s">
        <v>13</v>
      </c>
      <c r="G78">
        <v>1</v>
      </c>
      <c r="H78">
        <v>55000</v>
      </c>
      <c r="I78">
        <v>55000</v>
      </c>
      <c r="J78" t="s">
        <v>19</v>
      </c>
    </row>
    <row r="79" spans="1:10" x14ac:dyDescent="0.3">
      <c r="A79">
        <v>1078</v>
      </c>
      <c r="B79" s="1">
        <v>46029</v>
      </c>
      <c r="C79" t="s">
        <v>113</v>
      </c>
      <c r="D79" t="s">
        <v>21</v>
      </c>
      <c r="E79" t="s">
        <v>34</v>
      </c>
      <c r="F79" t="s">
        <v>18</v>
      </c>
      <c r="G79">
        <v>3</v>
      </c>
      <c r="H79">
        <v>1200</v>
      </c>
      <c r="I79">
        <v>3600</v>
      </c>
      <c r="J79" t="s">
        <v>25</v>
      </c>
    </row>
    <row r="80" spans="1:10" x14ac:dyDescent="0.3">
      <c r="A80">
        <v>1079</v>
      </c>
      <c r="B80" s="1">
        <v>46078</v>
      </c>
      <c r="C80" t="s">
        <v>114</v>
      </c>
      <c r="D80" t="s">
        <v>27</v>
      </c>
      <c r="E80" t="s">
        <v>49</v>
      </c>
      <c r="F80" t="s">
        <v>50</v>
      </c>
      <c r="G80">
        <v>1</v>
      </c>
      <c r="H80">
        <v>3000</v>
      </c>
      <c r="I80">
        <v>3000</v>
      </c>
      <c r="J80" t="s">
        <v>19</v>
      </c>
    </row>
    <row r="81" spans="1:10" x14ac:dyDescent="0.3">
      <c r="A81">
        <v>1080</v>
      </c>
      <c r="B81" s="1">
        <v>46074</v>
      </c>
      <c r="C81" t="s">
        <v>115</v>
      </c>
      <c r="D81" t="s">
        <v>46</v>
      </c>
      <c r="E81" t="s">
        <v>55</v>
      </c>
      <c r="F81" t="s">
        <v>50</v>
      </c>
      <c r="G81">
        <v>2</v>
      </c>
      <c r="H81">
        <v>2000</v>
      </c>
      <c r="I81">
        <v>4000</v>
      </c>
      <c r="J81" t="s">
        <v>25</v>
      </c>
    </row>
    <row r="82" spans="1:10" x14ac:dyDescent="0.3">
      <c r="A82">
        <v>1081</v>
      </c>
      <c r="B82" s="1">
        <v>46080</v>
      </c>
      <c r="C82" t="s">
        <v>116</v>
      </c>
      <c r="D82" t="s">
        <v>54</v>
      </c>
      <c r="E82" t="s">
        <v>17</v>
      </c>
      <c r="F82" t="s">
        <v>18</v>
      </c>
      <c r="G82">
        <v>2</v>
      </c>
      <c r="H82">
        <v>500</v>
      </c>
      <c r="I82">
        <v>1000</v>
      </c>
      <c r="J82" t="s">
        <v>25</v>
      </c>
    </row>
    <row r="83" spans="1:10" x14ac:dyDescent="0.3">
      <c r="A83">
        <v>1082</v>
      </c>
      <c r="B83" s="1">
        <v>46048</v>
      </c>
      <c r="C83" t="s">
        <v>117</v>
      </c>
      <c r="D83" t="s">
        <v>46</v>
      </c>
      <c r="E83" t="s">
        <v>37</v>
      </c>
      <c r="F83" t="s">
        <v>13</v>
      </c>
      <c r="G83">
        <v>2</v>
      </c>
      <c r="H83">
        <v>55000</v>
      </c>
      <c r="I83">
        <v>110000</v>
      </c>
      <c r="J83" t="s">
        <v>25</v>
      </c>
    </row>
    <row r="84" spans="1:10" x14ac:dyDescent="0.3">
      <c r="A84">
        <v>1083</v>
      </c>
      <c r="B84" s="1">
        <v>46075</v>
      </c>
      <c r="C84" t="s">
        <v>118</v>
      </c>
      <c r="D84" t="s">
        <v>27</v>
      </c>
      <c r="E84" t="s">
        <v>17</v>
      </c>
      <c r="F84" t="s">
        <v>18</v>
      </c>
      <c r="G84">
        <v>3</v>
      </c>
      <c r="H84">
        <v>500</v>
      </c>
      <c r="I84">
        <v>1500</v>
      </c>
      <c r="J84" t="s">
        <v>19</v>
      </c>
    </row>
    <row r="85" spans="1:10" x14ac:dyDescent="0.3">
      <c r="A85">
        <v>1084</v>
      </c>
      <c r="B85" s="1">
        <v>46072</v>
      </c>
      <c r="C85" t="s">
        <v>119</v>
      </c>
      <c r="D85" t="s">
        <v>23</v>
      </c>
      <c r="E85" t="s">
        <v>12</v>
      </c>
      <c r="F85" t="s">
        <v>13</v>
      </c>
      <c r="G85">
        <v>3</v>
      </c>
      <c r="H85">
        <v>15000</v>
      </c>
      <c r="I85">
        <v>45000</v>
      </c>
      <c r="J85" t="s">
        <v>14</v>
      </c>
    </row>
    <row r="86" spans="1:10" x14ac:dyDescent="0.3">
      <c r="A86">
        <v>1085</v>
      </c>
      <c r="B86" s="1">
        <v>46064</v>
      </c>
      <c r="C86" t="s">
        <v>120</v>
      </c>
      <c r="D86" t="s">
        <v>39</v>
      </c>
      <c r="E86" t="s">
        <v>43</v>
      </c>
      <c r="F86" t="s">
        <v>13</v>
      </c>
      <c r="G86">
        <v>2</v>
      </c>
      <c r="H86">
        <v>1500</v>
      </c>
      <c r="I86">
        <v>3000</v>
      </c>
      <c r="J86" t="s">
        <v>14</v>
      </c>
    </row>
    <row r="87" spans="1:10" x14ac:dyDescent="0.3">
      <c r="A87">
        <v>1086</v>
      </c>
      <c r="B87" s="1">
        <v>46023</v>
      </c>
      <c r="C87" t="s">
        <v>121</v>
      </c>
      <c r="D87" t="s">
        <v>27</v>
      </c>
      <c r="E87" t="s">
        <v>24</v>
      </c>
      <c r="F87" t="s">
        <v>18</v>
      </c>
      <c r="G87">
        <v>2</v>
      </c>
      <c r="H87">
        <v>2000</v>
      </c>
      <c r="I87">
        <v>4000</v>
      </c>
      <c r="J87" t="s">
        <v>14</v>
      </c>
    </row>
    <row r="88" spans="1:10" x14ac:dyDescent="0.3">
      <c r="A88">
        <v>1087</v>
      </c>
      <c r="B88" s="1">
        <v>46075</v>
      </c>
      <c r="C88" t="s">
        <v>122</v>
      </c>
      <c r="D88" t="s">
        <v>21</v>
      </c>
      <c r="E88" t="s">
        <v>55</v>
      </c>
      <c r="F88" t="s">
        <v>50</v>
      </c>
      <c r="G88">
        <v>3</v>
      </c>
      <c r="H88">
        <v>2000</v>
      </c>
      <c r="I88">
        <v>6000</v>
      </c>
      <c r="J88" t="s">
        <v>25</v>
      </c>
    </row>
    <row r="89" spans="1:10" x14ac:dyDescent="0.3">
      <c r="A89">
        <v>1088</v>
      </c>
      <c r="B89" s="1">
        <v>46044</v>
      </c>
      <c r="C89" t="s">
        <v>123</v>
      </c>
      <c r="D89" t="s">
        <v>21</v>
      </c>
      <c r="E89" t="s">
        <v>58</v>
      </c>
      <c r="F89" t="s">
        <v>13</v>
      </c>
      <c r="G89">
        <v>2</v>
      </c>
      <c r="H89">
        <v>20000</v>
      </c>
      <c r="I89">
        <v>40000</v>
      </c>
      <c r="J89" t="s">
        <v>14</v>
      </c>
    </row>
    <row r="90" spans="1:10" x14ac:dyDescent="0.3">
      <c r="A90">
        <v>1089</v>
      </c>
      <c r="B90" s="1">
        <v>46042</v>
      </c>
      <c r="C90" t="s">
        <v>124</v>
      </c>
      <c r="D90" t="s">
        <v>16</v>
      </c>
      <c r="E90" t="s">
        <v>34</v>
      </c>
      <c r="F90" t="s">
        <v>18</v>
      </c>
      <c r="G90">
        <v>1</v>
      </c>
      <c r="H90">
        <v>1200</v>
      </c>
      <c r="I90">
        <v>1200</v>
      </c>
      <c r="J90" t="s">
        <v>14</v>
      </c>
    </row>
    <row r="91" spans="1:10" x14ac:dyDescent="0.3">
      <c r="A91">
        <v>1090</v>
      </c>
      <c r="B91" s="1">
        <v>46055</v>
      </c>
      <c r="C91" t="s">
        <v>125</v>
      </c>
      <c r="D91" t="s">
        <v>27</v>
      </c>
      <c r="E91" t="s">
        <v>28</v>
      </c>
      <c r="F91" t="s">
        <v>13</v>
      </c>
      <c r="G91">
        <v>1</v>
      </c>
      <c r="H91">
        <v>7000</v>
      </c>
      <c r="I91">
        <v>7000</v>
      </c>
      <c r="J91" t="s">
        <v>19</v>
      </c>
    </row>
    <row r="92" spans="1:10" x14ac:dyDescent="0.3">
      <c r="A92">
        <v>1091</v>
      </c>
      <c r="B92" s="1">
        <v>46057</v>
      </c>
      <c r="C92" t="s">
        <v>126</v>
      </c>
      <c r="D92" t="s">
        <v>36</v>
      </c>
      <c r="E92" t="s">
        <v>37</v>
      </c>
      <c r="F92" t="s">
        <v>13</v>
      </c>
      <c r="G92">
        <v>2</v>
      </c>
      <c r="H92">
        <v>55000</v>
      </c>
      <c r="I92">
        <v>110000</v>
      </c>
      <c r="J92" t="s">
        <v>14</v>
      </c>
    </row>
    <row r="93" spans="1:10" x14ac:dyDescent="0.3">
      <c r="A93">
        <v>1092</v>
      </c>
      <c r="B93" s="1">
        <v>46063</v>
      </c>
      <c r="C93" t="s">
        <v>127</v>
      </c>
      <c r="D93" t="s">
        <v>27</v>
      </c>
      <c r="E93" t="s">
        <v>43</v>
      </c>
      <c r="F93" t="s">
        <v>13</v>
      </c>
      <c r="G93">
        <v>1</v>
      </c>
      <c r="H93">
        <v>1500</v>
      </c>
      <c r="I93">
        <v>1500</v>
      </c>
      <c r="J93" t="s">
        <v>14</v>
      </c>
    </row>
    <row r="94" spans="1:10" x14ac:dyDescent="0.3">
      <c r="A94">
        <v>1093</v>
      </c>
      <c r="B94" s="1">
        <v>46083</v>
      </c>
      <c r="C94" t="s">
        <v>128</v>
      </c>
      <c r="D94" t="s">
        <v>30</v>
      </c>
      <c r="E94" t="s">
        <v>34</v>
      </c>
      <c r="F94" t="s">
        <v>18</v>
      </c>
      <c r="G94">
        <v>1</v>
      </c>
      <c r="H94">
        <v>1200</v>
      </c>
      <c r="I94">
        <v>1200</v>
      </c>
      <c r="J94" t="s">
        <v>19</v>
      </c>
    </row>
    <row r="95" spans="1:10" x14ac:dyDescent="0.3">
      <c r="A95">
        <v>1094</v>
      </c>
      <c r="B95" s="1">
        <v>46073</v>
      </c>
      <c r="C95" t="s">
        <v>129</v>
      </c>
      <c r="D95" t="s">
        <v>27</v>
      </c>
      <c r="E95" t="s">
        <v>34</v>
      </c>
      <c r="F95" t="s">
        <v>18</v>
      </c>
      <c r="G95">
        <v>1</v>
      </c>
      <c r="H95">
        <v>1200</v>
      </c>
      <c r="I95">
        <v>1200</v>
      </c>
      <c r="J95" t="s">
        <v>19</v>
      </c>
    </row>
    <row r="96" spans="1:10" x14ac:dyDescent="0.3">
      <c r="A96">
        <v>1095</v>
      </c>
      <c r="B96" s="1">
        <v>46055</v>
      </c>
      <c r="C96" t="s">
        <v>130</v>
      </c>
      <c r="D96" t="s">
        <v>16</v>
      </c>
      <c r="E96" t="s">
        <v>55</v>
      </c>
      <c r="F96" t="s">
        <v>50</v>
      </c>
      <c r="G96">
        <v>3</v>
      </c>
      <c r="H96">
        <v>2000</v>
      </c>
      <c r="I96">
        <v>6000</v>
      </c>
      <c r="J96" t="s">
        <v>19</v>
      </c>
    </row>
    <row r="97" spans="1:10" x14ac:dyDescent="0.3">
      <c r="A97">
        <v>1096</v>
      </c>
      <c r="B97" s="1">
        <v>46052</v>
      </c>
      <c r="C97" t="s">
        <v>131</v>
      </c>
      <c r="D97" t="s">
        <v>30</v>
      </c>
      <c r="E97" t="s">
        <v>55</v>
      </c>
      <c r="F97" t="s">
        <v>50</v>
      </c>
      <c r="G97">
        <v>3</v>
      </c>
      <c r="H97">
        <v>2000</v>
      </c>
      <c r="I97">
        <v>6000</v>
      </c>
      <c r="J97" t="s">
        <v>25</v>
      </c>
    </row>
    <row r="98" spans="1:10" x14ac:dyDescent="0.3">
      <c r="A98">
        <v>1097</v>
      </c>
      <c r="B98" s="1">
        <v>46054</v>
      </c>
      <c r="C98" t="s">
        <v>132</v>
      </c>
      <c r="D98" t="s">
        <v>11</v>
      </c>
      <c r="E98" t="s">
        <v>43</v>
      </c>
      <c r="F98" t="s">
        <v>13</v>
      </c>
      <c r="G98">
        <v>2</v>
      </c>
      <c r="H98">
        <v>1500</v>
      </c>
      <c r="I98">
        <v>3000</v>
      </c>
      <c r="J98" t="s">
        <v>19</v>
      </c>
    </row>
    <row r="99" spans="1:10" x14ac:dyDescent="0.3">
      <c r="A99">
        <v>1098</v>
      </c>
      <c r="B99" s="1">
        <v>46027</v>
      </c>
      <c r="C99" t="s">
        <v>133</v>
      </c>
      <c r="D99" t="s">
        <v>16</v>
      </c>
      <c r="E99" t="s">
        <v>37</v>
      </c>
      <c r="F99" t="s">
        <v>13</v>
      </c>
      <c r="G99">
        <v>2</v>
      </c>
      <c r="H99">
        <v>55000</v>
      </c>
      <c r="I99">
        <v>110000</v>
      </c>
      <c r="J99" t="s">
        <v>14</v>
      </c>
    </row>
    <row r="100" spans="1:10" x14ac:dyDescent="0.3">
      <c r="A100">
        <v>1099</v>
      </c>
      <c r="B100" s="1">
        <v>46073</v>
      </c>
      <c r="C100" t="s">
        <v>134</v>
      </c>
      <c r="D100" t="s">
        <v>21</v>
      </c>
      <c r="E100" t="s">
        <v>55</v>
      </c>
      <c r="F100" t="s">
        <v>50</v>
      </c>
      <c r="G100">
        <v>2</v>
      </c>
      <c r="H100">
        <v>2000</v>
      </c>
      <c r="I100">
        <v>4000</v>
      </c>
      <c r="J100" t="s">
        <v>14</v>
      </c>
    </row>
    <row r="101" spans="1:10" x14ac:dyDescent="0.3">
      <c r="A101">
        <v>1100</v>
      </c>
      <c r="B101" s="1">
        <v>46039</v>
      </c>
      <c r="C101" t="s">
        <v>135</v>
      </c>
      <c r="D101" t="s">
        <v>54</v>
      </c>
      <c r="E101" t="s">
        <v>55</v>
      </c>
      <c r="F101" t="s">
        <v>50</v>
      </c>
      <c r="G101">
        <v>3</v>
      </c>
      <c r="H101">
        <v>2000</v>
      </c>
      <c r="I101">
        <v>6000</v>
      </c>
      <c r="J101" t="s">
        <v>14</v>
      </c>
    </row>
    <row r="102" spans="1:10" x14ac:dyDescent="0.3">
      <c r="A102">
        <v>1101</v>
      </c>
      <c r="B102" s="1">
        <v>46061</v>
      </c>
      <c r="C102" t="s">
        <v>136</v>
      </c>
      <c r="D102" t="s">
        <v>30</v>
      </c>
      <c r="E102" t="s">
        <v>24</v>
      </c>
      <c r="F102" t="s">
        <v>18</v>
      </c>
      <c r="G102">
        <v>2</v>
      </c>
      <c r="H102">
        <v>2000</v>
      </c>
      <c r="I102">
        <v>4000</v>
      </c>
      <c r="J102" t="s">
        <v>14</v>
      </c>
    </row>
    <row r="103" spans="1:10" x14ac:dyDescent="0.3">
      <c r="A103">
        <v>1102</v>
      </c>
      <c r="B103" s="1">
        <v>46059</v>
      </c>
      <c r="C103" t="s">
        <v>137</v>
      </c>
      <c r="D103" t="s">
        <v>46</v>
      </c>
      <c r="E103" t="s">
        <v>58</v>
      </c>
      <c r="F103" t="s">
        <v>13</v>
      </c>
      <c r="G103">
        <v>2</v>
      </c>
      <c r="H103">
        <v>20000</v>
      </c>
      <c r="I103">
        <v>40000</v>
      </c>
      <c r="J103" t="s">
        <v>19</v>
      </c>
    </row>
    <row r="104" spans="1:10" x14ac:dyDescent="0.3">
      <c r="A104">
        <v>1103</v>
      </c>
      <c r="B104" s="1">
        <v>46063</v>
      </c>
      <c r="C104" t="s">
        <v>138</v>
      </c>
      <c r="D104" t="s">
        <v>21</v>
      </c>
      <c r="E104" t="s">
        <v>12</v>
      </c>
      <c r="F104" t="s">
        <v>13</v>
      </c>
      <c r="G104">
        <v>2</v>
      </c>
      <c r="H104">
        <v>15000</v>
      </c>
      <c r="I104">
        <v>30000</v>
      </c>
      <c r="J104" t="s">
        <v>19</v>
      </c>
    </row>
    <row r="105" spans="1:10" x14ac:dyDescent="0.3">
      <c r="A105">
        <v>1104</v>
      </c>
      <c r="B105" s="1">
        <v>46052</v>
      </c>
      <c r="C105" t="s">
        <v>139</v>
      </c>
      <c r="D105" t="s">
        <v>39</v>
      </c>
      <c r="E105" t="s">
        <v>12</v>
      </c>
      <c r="F105" t="s">
        <v>13</v>
      </c>
      <c r="G105">
        <v>1</v>
      </c>
      <c r="H105">
        <v>15000</v>
      </c>
      <c r="I105">
        <v>15000</v>
      </c>
      <c r="J105" t="s">
        <v>25</v>
      </c>
    </row>
    <row r="106" spans="1:10" x14ac:dyDescent="0.3">
      <c r="A106">
        <v>1105</v>
      </c>
      <c r="B106" s="1">
        <v>46054</v>
      </c>
      <c r="C106" t="s">
        <v>140</v>
      </c>
      <c r="D106" t="s">
        <v>46</v>
      </c>
      <c r="E106" t="s">
        <v>55</v>
      </c>
      <c r="F106" t="s">
        <v>50</v>
      </c>
      <c r="G106">
        <v>1</v>
      </c>
      <c r="H106">
        <v>2000</v>
      </c>
      <c r="I106">
        <v>2000</v>
      </c>
      <c r="J106" t="s">
        <v>19</v>
      </c>
    </row>
    <row r="107" spans="1:10" x14ac:dyDescent="0.3">
      <c r="A107">
        <v>1106</v>
      </c>
      <c r="B107" s="1">
        <v>46058</v>
      </c>
      <c r="C107" t="s">
        <v>141</v>
      </c>
      <c r="D107" t="s">
        <v>46</v>
      </c>
      <c r="E107" t="s">
        <v>17</v>
      </c>
      <c r="F107" t="s">
        <v>18</v>
      </c>
      <c r="G107">
        <v>3</v>
      </c>
      <c r="H107">
        <v>500</v>
      </c>
      <c r="I107">
        <v>1500</v>
      </c>
      <c r="J107" t="s">
        <v>25</v>
      </c>
    </row>
    <row r="108" spans="1:10" x14ac:dyDescent="0.3">
      <c r="A108">
        <v>1107</v>
      </c>
      <c r="B108" s="1">
        <v>46070</v>
      </c>
      <c r="C108" t="s">
        <v>142</v>
      </c>
      <c r="D108" t="s">
        <v>27</v>
      </c>
      <c r="E108" t="s">
        <v>49</v>
      </c>
      <c r="F108" t="s">
        <v>50</v>
      </c>
      <c r="G108">
        <v>3</v>
      </c>
      <c r="H108">
        <v>3000</v>
      </c>
      <c r="I108">
        <v>9000</v>
      </c>
      <c r="J108" t="s">
        <v>25</v>
      </c>
    </row>
    <row r="109" spans="1:10" x14ac:dyDescent="0.3">
      <c r="A109">
        <v>1108</v>
      </c>
      <c r="B109" s="1">
        <v>46032</v>
      </c>
      <c r="C109" t="s">
        <v>143</v>
      </c>
      <c r="D109" t="s">
        <v>16</v>
      </c>
      <c r="E109" t="s">
        <v>37</v>
      </c>
      <c r="F109" t="s">
        <v>13</v>
      </c>
      <c r="G109">
        <v>3</v>
      </c>
      <c r="H109">
        <v>55000</v>
      </c>
      <c r="I109">
        <v>165000</v>
      </c>
      <c r="J109" t="s">
        <v>14</v>
      </c>
    </row>
    <row r="110" spans="1:10" x14ac:dyDescent="0.3">
      <c r="A110">
        <v>1109</v>
      </c>
      <c r="B110" s="1">
        <v>46066</v>
      </c>
      <c r="C110" t="s">
        <v>144</v>
      </c>
      <c r="D110" t="s">
        <v>27</v>
      </c>
      <c r="E110" t="s">
        <v>28</v>
      </c>
      <c r="F110" t="s">
        <v>13</v>
      </c>
      <c r="G110">
        <v>3</v>
      </c>
      <c r="H110">
        <v>7000</v>
      </c>
      <c r="I110">
        <v>21000</v>
      </c>
      <c r="J110" t="s">
        <v>14</v>
      </c>
    </row>
    <row r="111" spans="1:10" x14ac:dyDescent="0.3">
      <c r="A111">
        <v>1110</v>
      </c>
      <c r="B111" s="1">
        <v>46034</v>
      </c>
      <c r="C111" t="s">
        <v>145</v>
      </c>
      <c r="D111" t="s">
        <v>30</v>
      </c>
      <c r="E111" t="s">
        <v>55</v>
      </c>
      <c r="F111" t="s">
        <v>50</v>
      </c>
      <c r="G111">
        <v>1</v>
      </c>
      <c r="H111">
        <v>2000</v>
      </c>
      <c r="I111">
        <v>2000</v>
      </c>
      <c r="J111" t="s">
        <v>14</v>
      </c>
    </row>
    <row r="112" spans="1:10" x14ac:dyDescent="0.3">
      <c r="A112">
        <v>1111</v>
      </c>
      <c r="B112" s="1">
        <v>46045</v>
      </c>
      <c r="C112" t="s">
        <v>146</v>
      </c>
      <c r="D112" t="s">
        <v>54</v>
      </c>
      <c r="E112" t="s">
        <v>28</v>
      </c>
      <c r="F112" t="s">
        <v>13</v>
      </c>
      <c r="G112">
        <v>1</v>
      </c>
      <c r="H112">
        <v>7000</v>
      </c>
      <c r="I112">
        <v>7000</v>
      </c>
      <c r="J112" t="s">
        <v>25</v>
      </c>
    </row>
    <row r="113" spans="1:10" x14ac:dyDescent="0.3">
      <c r="A113">
        <v>1112</v>
      </c>
      <c r="B113" s="1">
        <v>46079</v>
      </c>
      <c r="C113" t="s">
        <v>147</v>
      </c>
      <c r="D113" t="s">
        <v>23</v>
      </c>
      <c r="E113" t="s">
        <v>37</v>
      </c>
      <c r="F113" t="s">
        <v>13</v>
      </c>
      <c r="G113">
        <v>3</v>
      </c>
      <c r="H113">
        <v>55000</v>
      </c>
      <c r="I113">
        <v>165000</v>
      </c>
      <c r="J113" t="s">
        <v>14</v>
      </c>
    </row>
    <row r="114" spans="1:10" x14ac:dyDescent="0.3">
      <c r="A114">
        <v>1113</v>
      </c>
      <c r="B114" s="1">
        <v>46038</v>
      </c>
      <c r="C114" t="s">
        <v>148</v>
      </c>
      <c r="D114" t="s">
        <v>54</v>
      </c>
      <c r="E114" t="s">
        <v>28</v>
      </c>
      <c r="F114" t="s">
        <v>13</v>
      </c>
      <c r="G114">
        <v>2</v>
      </c>
      <c r="H114">
        <v>7000</v>
      </c>
      <c r="I114">
        <v>14000</v>
      </c>
      <c r="J114" t="s">
        <v>19</v>
      </c>
    </row>
    <row r="115" spans="1:10" x14ac:dyDescent="0.3">
      <c r="A115">
        <v>1114</v>
      </c>
      <c r="B115" s="1">
        <v>46040</v>
      </c>
      <c r="C115" t="s">
        <v>149</v>
      </c>
      <c r="D115" t="s">
        <v>16</v>
      </c>
      <c r="E115" t="s">
        <v>34</v>
      </c>
      <c r="F115" t="s">
        <v>18</v>
      </c>
      <c r="G115">
        <v>1</v>
      </c>
      <c r="H115">
        <v>1200</v>
      </c>
      <c r="I115">
        <v>1200</v>
      </c>
      <c r="J115" t="s">
        <v>19</v>
      </c>
    </row>
    <row r="116" spans="1:10" x14ac:dyDescent="0.3">
      <c r="A116">
        <v>1115</v>
      </c>
      <c r="B116" s="1">
        <v>46038</v>
      </c>
      <c r="C116" t="s">
        <v>150</v>
      </c>
      <c r="D116" t="s">
        <v>11</v>
      </c>
      <c r="E116" t="s">
        <v>37</v>
      </c>
      <c r="F116" t="s">
        <v>13</v>
      </c>
      <c r="G116">
        <v>3</v>
      </c>
      <c r="H116">
        <v>55000</v>
      </c>
      <c r="I116">
        <v>165000</v>
      </c>
      <c r="J116" t="s">
        <v>25</v>
      </c>
    </row>
    <row r="117" spans="1:10" x14ac:dyDescent="0.3">
      <c r="A117">
        <v>1116</v>
      </c>
      <c r="B117" s="1">
        <v>46045</v>
      </c>
      <c r="C117" t="s">
        <v>151</v>
      </c>
      <c r="D117" t="s">
        <v>27</v>
      </c>
      <c r="E117" t="s">
        <v>49</v>
      </c>
      <c r="F117" t="s">
        <v>50</v>
      </c>
      <c r="G117">
        <v>3</v>
      </c>
      <c r="H117">
        <v>3000</v>
      </c>
      <c r="I117">
        <v>9000</v>
      </c>
      <c r="J117" t="s">
        <v>19</v>
      </c>
    </row>
    <row r="118" spans="1:10" x14ac:dyDescent="0.3">
      <c r="A118">
        <v>1117</v>
      </c>
      <c r="B118" s="1">
        <v>46076</v>
      </c>
      <c r="C118" t="s">
        <v>152</v>
      </c>
      <c r="D118" t="s">
        <v>16</v>
      </c>
      <c r="E118" t="s">
        <v>37</v>
      </c>
      <c r="F118" t="s">
        <v>13</v>
      </c>
      <c r="G118">
        <v>1</v>
      </c>
      <c r="H118">
        <v>55000</v>
      </c>
      <c r="I118">
        <v>55000</v>
      </c>
      <c r="J118" t="s">
        <v>25</v>
      </c>
    </row>
    <row r="119" spans="1:10" x14ac:dyDescent="0.3">
      <c r="A119">
        <v>1118</v>
      </c>
      <c r="B119" s="1">
        <v>46079</v>
      </c>
      <c r="C119" t="s">
        <v>153</v>
      </c>
      <c r="D119" t="s">
        <v>21</v>
      </c>
      <c r="E119" t="s">
        <v>43</v>
      </c>
      <c r="F119" t="s">
        <v>13</v>
      </c>
      <c r="G119">
        <v>1</v>
      </c>
      <c r="H119">
        <v>1500</v>
      </c>
      <c r="I119">
        <v>1500</v>
      </c>
      <c r="J119" t="s">
        <v>25</v>
      </c>
    </row>
    <row r="120" spans="1:10" x14ac:dyDescent="0.3">
      <c r="A120">
        <v>1119</v>
      </c>
      <c r="B120" s="1">
        <v>46076</v>
      </c>
      <c r="C120" t="s">
        <v>154</v>
      </c>
      <c r="D120" t="s">
        <v>36</v>
      </c>
      <c r="E120" t="s">
        <v>28</v>
      </c>
      <c r="F120" t="s">
        <v>13</v>
      </c>
      <c r="G120">
        <v>2</v>
      </c>
      <c r="H120">
        <v>7000</v>
      </c>
      <c r="I120">
        <v>14000</v>
      </c>
      <c r="J120" t="s">
        <v>19</v>
      </c>
    </row>
    <row r="121" spans="1:10" x14ac:dyDescent="0.3">
      <c r="A121">
        <v>1120</v>
      </c>
      <c r="B121" s="1">
        <v>46066</v>
      </c>
      <c r="C121" t="s">
        <v>155</v>
      </c>
      <c r="D121" t="s">
        <v>36</v>
      </c>
      <c r="E121" t="s">
        <v>17</v>
      </c>
      <c r="F121" t="s">
        <v>18</v>
      </c>
      <c r="G121">
        <v>3</v>
      </c>
      <c r="H121">
        <v>500</v>
      </c>
      <c r="I121">
        <v>1500</v>
      </c>
      <c r="J121" t="s">
        <v>25</v>
      </c>
    </row>
    <row r="122" spans="1:10" x14ac:dyDescent="0.3">
      <c r="A122">
        <v>1121</v>
      </c>
      <c r="B122" s="1">
        <v>46058</v>
      </c>
      <c r="C122" t="s">
        <v>156</v>
      </c>
      <c r="D122" t="s">
        <v>21</v>
      </c>
      <c r="E122" t="s">
        <v>12</v>
      </c>
      <c r="F122" t="s">
        <v>13</v>
      </c>
      <c r="G122">
        <v>1</v>
      </c>
      <c r="H122">
        <v>15000</v>
      </c>
      <c r="I122">
        <v>15000</v>
      </c>
      <c r="J122" t="s">
        <v>25</v>
      </c>
    </row>
    <row r="123" spans="1:10" x14ac:dyDescent="0.3">
      <c r="A123">
        <v>1122</v>
      </c>
      <c r="B123" s="1">
        <v>46026</v>
      </c>
      <c r="C123" t="s">
        <v>157</v>
      </c>
      <c r="D123" t="s">
        <v>27</v>
      </c>
      <c r="E123" t="s">
        <v>58</v>
      </c>
      <c r="F123" t="s">
        <v>13</v>
      </c>
      <c r="G123">
        <v>2</v>
      </c>
      <c r="H123">
        <v>20000</v>
      </c>
      <c r="I123">
        <v>40000</v>
      </c>
      <c r="J123" t="s">
        <v>14</v>
      </c>
    </row>
    <row r="124" spans="1:10" x14ac:dyDescent="0.3">
      <c r="A124">
        <v>1123</v>
      </c>
      <c r="B124" s="1">
        <v>46070</v>
      </c>
      <c r="C124" t="s">
        <v>158</v>
      </c>
      <c r="D124" t="s">
        <v>39</v>
      </c>
      <c r="E124" t="s">
        <v>34</v>
      </c>
      <c r="F124" t="s">
        <v>18</v>
      </c>
      <c r="G124">
        <v>1</v>
      </c>
      <c r="H124">
        <v>1200</v>
      </c>
      <c r="I124">
        <v>1200</v>
      </c>
      <c r="J124" t="s">
        <v>25</v>
      </c>
    </row>
    <row r="125" spans="1:10" x14ac:dyDescent="0.3">
      <c r="A125">
        <v>1124</v>
      </c>
      <c r="B125" s="1">
        <v>46031</v>
      </c>
      <c r="C125" t="s">
        <v>159</v>
      </c>
      <c r="D125" t="s">
        <v>11</v>
      </c>
      <c r="E125" t="s">
        <v>28</v>
      </c>
      <c r="F125" t="s">
        <v>13</v>
      </c>
      <c r="G125">
        <v>2</v>
      </c>
      <c r="H125">
        <v>7000</v>
      </c>
      <c r="I125">
        <v>14000</v>
      </c>
      <c r="J125" t="s">
        <v>14</v>
      </c>
    </row>
    <row r="126" spans="1:10" x14ac:dyDescent="0.3">
      <c r="A126">
        <v>1125</v>
      </c>
      <c r="B126" s="1">
        <v>46073</v>
      </c>
      <c r="C126" t="s">
        <v>160</v>
      </c>
      <c r="D126" t="s">
        <v>30</v>
      </c>
      <c r="E126" t="s">
        <v>24</v>
      </c>
      <c r="F126" t="s">
        <v>18</v>
      </c>
      <c r="G126">
        <v>3</v>
      </c>
      <c r="H126">
        <v>2000</v>
      </c>
      <c r="I126">
        <v>6000</v>
      </c>
      <c r="J126" t="s">
        <v>19</v>
      </c>
    </row>
    <row r="127" spans="1:10" x14ac:dyDescent="0.3">
      <c r="A127">
        <v>1126</v>
      </c>
      <c r="B127" s="1">
        <v>46069</v>
      </c>
      <c r="C127" t="s">
        <v>161</v>
      </c>
      <c r="D127" t="s">
        <v>16</v>
      </c>
      <c r="E127" t="s">
        <v>58</v>
      </c>
      <c r="F127" t="s">
        <v>13</v>
      </c>
      <c r="G127">
        <v>2</v>
      </c>
      <c r="H127">
        <v>20000</v>
      </c>
      <c r="I127">
        <v>40000</v>
      </c>
      <c r="J127" t="s">
        <v>25</v>
      </c>
    </row>
    <row r="128" spans="1:10" x14ac:dyDescent="0.3">
      <c r="A128">
        <v>1127</v>
      </c>
      <c r="B128" s="1">
        <v>46050</v>
      </c>
      <c r="C128" t="s">
        <v>162</v>
      </c>
      <c r="D128" t="s">
        <v>21</v>
      </c>
      <c r="E128" t="s">
        <v>43</v>
      </c>
      <c r="F128" t="s">
        <v>13</v>
      </c>
      <c r="G128">
        <v>2</v>
      </c>
      <c r="H128">
        <v>1500</v>
      </c>
      <c r="I128">
        <v>3000</v>
      </c>
      <c r="J128" t="s">
        <v>19</v>
      </c>
    </row>
    <row r="129" spans="1:10" x14ac:dyDescent="0.3">
      <c r="A129">
        <v>1128</v>
      </c>
      <c r="B129" s="1">
        <v>46043</v>
      </c>
      <c r="C129" t="s">
        <v>163</v>
      </c>
      <c r="D129" t="s">
        <v>23</v>
      </c>
      <c r="E129" t="s">
        <v>43</v>
      </c>
      <c r="F129" t="s">
        <v>13</v>
      </c>
      <c r="G129">
        <v>3</v>
      </c>
      <c r="H129">
        <v>1500</v>
      </c>
      <c r="I129">
        <v>4500</v>
      </c>
      <c r="J129" t="s">
        <v>19</v>
      </c>
    </row>
    <row r="130" spans="1:10" x14ac:dyDescent="0.3">
      <c r="A130">
        <v>1129</v>
      </c>
      <c r="B130" s="1">
        <v>46040</v>
      </c>
      <c r="C130" t="s">
        <v>164</v>
      </c>
      <c r="D130" t="s">
        <v>39</v>
      </c>
      <c r="E130" t="s">
        <v>58</v>
      </c>
      <c r="F130" t="s">
        <v>13</v>
      </c>
      <c r="G130">
        <v>3</v>
      </c>
      <c r="H130">
        <v>20000</v>
      </c>
      <c r="I130">
        <v>60000</v>
      </c>
      <c r="J130" t="s">
        <v>19</v>
      </c>
    </row>
    <row r="131" spans="1:10" x14ac:dyDescent="0.3">
      <c r="A131">
        <v>1130</v>
      </c>
      <c r="B131" s="1">
        <v>46048</v>
      </c>
      <c r="C131" t="s">
        <v>165</v>
      </c>
      <c r="D131" t="s">
        <v>36</v>
      </c>
      <c r="E131" t="s">
        <v>24</v>
      </c>
      <c r="F131" t="s">
        <v>18</v>
      </c>
      <c r="G131">
        <v>2</v>
      </c>
      <c r="H131">
        <v>2000</v>
      </c>
      <c r="I131">
        <v>4000</v>
      </c>
      <c r="J131" t="s">
        <v>14</v>
      </c>
    </row>
    <row r="132" spans="1:10" x14ac:dyDescent="0.3">
      <c r="A132">
        <v>1131</v>
      </c>
      <c r="B132" s="1">
        <v>46072</v>
      </c>
      <c r="C132" t="s">
        <v>166</v>
      </c>
      <c r="D132" t="s">
        <v>23</v>
      </c>
      <c r="E132" t="s">
        <v>37</v>
      </c>
      <c r="F132" t="s">
        <v>13</v>
      </c>
      <c r="G132">
        <v>3</v>
      </c>
      <c r="H132">
        <v>55000</v>
      </c>
      <c r="I132">
        <v>165000</v>
      </c>
      <c r="J132" t="s">
        <v>14</v>
      </c>
    </row>
    <row r="133" spans="1:10" x14ac:dyDescent="0.3">
      <c r="A133">
        <v>1132</v>
      </c>
      <c r="B133" s="1">
        <v>46023</v>
      </c>
      <c r="C133" t="s">
        <v>167</v>
      </c>
      <c r="D133" t="s">
        <v>46</v>
      </c>
      <c r="E133" t="s">
        <v>24</v>
      </c>
      <c r="F133" t="s">
        <v>18</v>
      </c>
      <c r="G133">
        <v>2</v>
      </c>
      <c r="H133">
        <v>2000</v>
      </c>
      <c r="I133">
        <v>4000</v>
      </c>
      <c r="J133" t="s">
        <v>14</v>
      </c>
    </row>
    <row r="134" spans="1:10" x14ac:dyDescent="0.3">
      <c r="A134">
        <v>1133</v>
      </c>
      <c r="B134" s="1">
        <v>46052</v>
      </c>
      <c r="C134" t="s">
        <v>168</v>
      </c>
      <c r="D134" t="s">
        <v>46</v>
      </c>
      <c r="E134" t="s">
        <v>43</v>
      </c>
      <c r="F134" t="s">
        <v>13</v>
      </c>
      <c r="G134">
        <v>2</v>
      </c>
      <c r="H134">
        <v>1500</v>
      </c>
      <c r="I134">
        <v>3000</v>
      </c>
      <c r="J134" t="s">
        <v>19</v>
      </c>
    </row>
    <row r="135" spans="1:10" x14ac:dyDescent="0.3">
      <c r="A135">
        <v>1134</v>
      </c>
      <c r="B135" s="1">
        <v>46034</v>
      </c>
      <c r="C135" t="s">
        <v>169</v>
      </c>
      <c r="D135" t="s">
        <v>39</v>
      </c>
      <c r="E135" t="s">
        <v>28</v>
      </c>
      <c r="F135" t="s">
        <v>13</v>
      </c>
      <c r="G135">
        <v>2</v>
      </c>
      <c r="H135">
        <v>7000</v>
      </c>
      <c r="I135">
        <v>14000</v>
      </c>
      <c r="J135" t="s">
        <v>14</v>
      </c>
    </row>
    <row r="136" spans="1:10" x14ac:dyDescent="0.3">
      <c r="A136">
        <v>1135</v>
      </c>
      <c r="B136" s="1">
        <v>46077</v>
      </c>
      <c r="C136" t="s">
        <v>170</v>
      </c>
      <c r="D136" t="s">
        <v>21</v>
      </c>
      <c r="E136" t="s">
        <v>49</v>
      </c>
      <c r="F136" t="s">
        <v>50</v>
      </c>
      <c r="G136">
        <v>1</v>
      </c>
      <c r="H136">
        <v>3000</v>
      </c>
      <c r="I136">
        <v>3000</v>
      </c>
      <c r="J136" t="s">
        <v>19</v>
      </c>
    </row>
    <row r="137" spans="1:10" x14ac:dyDescent="0.3">
      <c r="A137">
        <v>1136</v>
      </c>
      <c r="B137" s="1">
        <v>46053</v>
      </c>
      <c r="C137" t="s">
        <v>171</v>
      </c>
      <c r="D137" t="s">
        <v>46</v>
      </c>
      <c r="E137" t="s">
        <v>55</v>
      </c>
      <c r="F137" t="s">
        <v>50</v>
      </c>
      <c r="G137">
        <v>3</v>
      </c>
      <c r="H137">
        <v>2000</v>
      </c>
      <c r="I137">
        <v>6000</v>
      </c>
      <c r="J137" t="s">
        <v>14</v>
      </c>
    </row>
    <row r="138" spans="1:10" x14ac:dyDescent="0.3">
      <c r="A138">
        <v>1137</v>
      </c>
      <c r="B138" s="1">
        <v>46049</v>
      </c>
      <c r="C138" t="s">
        <v>172</v>
      </c>
      <c r="D138" t="s">
        <v>23</v>
      </c>
      <c r="E138" t="s">
        <v>49</v>
      </c>
      <c r="F138" t="s">
        <v>50</v>
      </c>
      <c r="G138">
        <v>1</v>
      </c>
      <c r="H138">
        <v>3000</v>
      </c>
      <c r="I138">
        <v>3000</v>
      </c>
      <c r="J138" t="s">
        <v>19</v>
      </c>
    </row>
    <row r="139" spans="1:10" x14ac:dyDescent="0.3">
      <c r="A139">
        <v>1138</v>
      </c>
      <c r="B139" s="1">
        <v>46048</v>
      </c>
      <c r="C139" t="s">
        <v>173</v>
      </c>
      <c r="D139" t="s">
        <v>21</v>
      </c>
      <c r="E139" t="s">
        <v>24</v>
      </c>
      <c r="F139" t="s">
        <v>18</v>
      </c>
      <c r="G139">
        <v>2</v>
      </c>
      <c r="H139">
        <v>2000</v>
      </c>
      <c r="I139">
        <v>4000</v>
      </c>
      <c r="J139" t="s">
        <v>19</v>
      </c>
    </row>
    <row r="140" spans="1:10" x14ac:dyDescent="0.3">
      <c r="A140">
        <v>1139</v>
      </c>
      <c r="B140" s="1">
        <v>46044</v>
      </c>
      <c r="C140" t="s">
        <v>174</v>
      </c>
      <c r="D140" t="s">
        <v>16</v>
      </c>
      <c r="E140" t="s">
        <v>43</v>
      </c>
      <c r="F140" t="s">
        <v>13</v>
      </c>
      <c r="G140">
        <v>1</v>
      </c>
      <c r="H140">
        <v>1500</v>
      </c>
      <c r="I140">
        <v>1500</v>
      </c>
      <c r="J140" t="s">
        <v>19</v>
      </c>
    </row>
    <row r="141" spans="1:10" x14ac:dyDescent="0.3">
      <c r="A141">
        <v>1140</v>
      </c>
      <c r="B141" s="1">
        <v>46075</v>
      </c>
      <c r="C141" t="s">
        <v>175</v>
      </c>
      <c r="D141" t="s">
        <v>27</v>
      </c>
      <c r="E141" t="s">
        <v>43</v>
      </c>
      <c r="F141" t="s">
        <v>13</v>
      </c>
      <c r="G141">
        <v>2</v>
      </c>
      <c r="H141">
        <v>1500</v>
      </c>
      <c r="I141">
        <v>3000</v>
      </c>
      <c r="J141" t="s">
        <v>25</v>
      </c>
    </row>
    <row r="142" spans="1:10" x14ac:dyDescent="0.3">
      <c r="A142">
        <v>1141</v>
      </c>
      <c r="B142" s="1">
        <v>46082</v>
      </c>
      <c r="C142" t="s">
        <v>176</v>
      </c>
      <c r="D142" t="s">
        <v>21</v>
      </c>
      <c r="E142" t="s">
        <v>43</v>
      </c>
      <c r="F142" t="s">
        <v>13</v>
      </c>
      <c r="G142">
        <v>3</v>
      </c>
      <c r="H142">
        <v>1500</v>
      </c>
      <c r="I142">
        <v>4500</v>
      </c>
      <c r="J142" t="s">
        <v>19</v>
      </c>
    </row>
    <row r="143" spans="1:10" x14ac:dyDescent="0.3">
      <c r="A143">
        <v>1142</v>
      </c>
      <c r="B143" s="1">
        <v>46031</v>
      </c>
      <c r="C143" t="s">
        <v>177</v>
      </c>
      <c r="D143" t="s">
        <v>39</v>
      </c>
      <c r="E143" t="s">
        <v>58</v>
      </c>
      <c r="F143" t="s">
        <v>13</v>
      </c>
      <c r="G143">
        <v>2</v>
      </c>
      <c r="H143">
        <v>20000</v>
      </c>
      <c r="I143">
        <v>40000</v>
      </c>
      <c r="J143" t="s">
        <v>14</v>
      </c>
    </row>
    <row r="144" spans="1:10" x14ac:dyDescent="0.3">
      <c r="A144">
        <v>1143</v>
      </c>
      <c r="B144" s="1">
        <v>46049</v>
      </c>
      <c r="C144" t="s">
        <v>178</v>
      </c>
      <c r="D144" t="s">
        <v>21</v>
      </c>
      <c r="E144" t="s">
        <v>37</v>
      </c>
      <c r="F144" t="s">
        <v>13</v>
      </c>
      <c r="G144">
        <v>1</v>
      </c>
      <c r="H144">
        <v>55000</v>
      </c>
      <c r="I144">
        <v>55000</v>
      </c>
      <c r="J144" t="s">
        <v>25</v>
      </c>
    </row>
    <row r="145" spans="1:10" x14ac:dyDescent="0.3">
      <c r="A145">
        <v>1144</v>
      </c>
      <c r="B145" s="1">
        <v>46038</v>
      </c>
      <c r="C145" t="s">
        <v>179</v>
      </c>
      <c r="D145" t="s">
        <v>30</v>
      </c>
      <c r="E145" t="s">
        <v>17</v>
      </c>
      <c r="F145" t="s">
        <v>18</v>
      </c>
      <c r="G145">
        <v>3</v>
      </c>
      <c r="H145">
        <v>500</v>
      </c>
      <c r="I145">
        <v>1500</v>
      </c>
      <c r="J145" t="s">
        <v>25</v>
      </c>
    </row>
    <row r="146" spans="1:10" x14ac:dyDescent="0.3">
      <c r="A146">
        <v>1145</v>
      </c>
      <c r="B146" s="1">
        <v>46029</v>
      </c>
      <c r="C146" t="s">
        <v>180</v>
      </c>
      <c r="D146" t="s">
        <v>27</v>
      </c>
      <c r="E146" t="s">
        <v>43</v>
      </c>
      <c r="F146" t="s">
        <v>13</v>
      </c>
      <c r="G146">
        <v>2</v>
      </c>
      <c r="H146">
        <v>1500</v>
      </c>
      <c r="I146">
        <v>3000</v>
      </c>
      <c r="J146" t="s">
        <v>14</v>
      </c>
    </row>
    <row r="147" spans="1:10" x14ac:dyDescent="0.3">
      <c r="A147">
        <v>1146</v>
      </c>
      <c r="B147" s="1">
        <v>46026</v>
      </c>
      <c r="C147" t="s">
        <v>181</v>
      </c>
      <c r="D147" t="s">
        <v>27</v>
      </c>
      <c r="E147" t="s">
        <v>49</v>
      </c>
      <c r="F147" t="s">
        <v>50</v>
      </c>
      <c r="G147">
        <v>1</v>
      </c>
      <c r="H147">
        <v>3000</v>
      </c>
      <c r="I147">
        <v>3000</v>
      </c>
      <c r="J147" t="s">
        <v>14</v>
      </c>
    </row>
    <row r="148" spans="1:10" x14ac:dyDescent="0.3">
      <c r="A148">
        <v>1147</v>
      </c>
      <c r="B148" s="1">
        <v>46054</v>
      </c>
      <c r="C148" t="s">
        <v>182</v>
      </c>
      <c r="D148" t="s">
        <v>11</v>
      </c>
      <c r="E148" t="s">
        <v>34</v>
      </c>
      <c r="F148" t="s">
        <v>18</v>
      </c>
      <c r="G148">
        <v>2</v>
      </c>
      <c r="H148">
        <v>1200</v>
      </c>
      <c r="I148">
        <v>2400</v>
      </c>
      <c r="J148" t="s">
        <v>25</v>
      </c>
    </row>
    <row r="149" spans="1:10" x14ac:dyDescent="0.3">
      <c r="A149">
        <v>1148</v>
      </c>
      <c r="B149" s="1">
        <v>46068</v>
      </c>
      <c r="C149" t="s">
        <v>183</v>
      </c>
      <c r="D149" t="s">
        <v>21</v>
      </c>
      <c r="E149" t="s">
        <v>17</v>
      </c>
      <c r="F149" t="s">
        <v>18</v>
      </c>
      <c r="G149">
        <v>1</v>
      </c>
      <c r="H149">
        <v>500</v>
      </c>
      <c r="I149">
        <v>500</v>
      </c>
      <c r="J149" t="s">
        <v>19</v>
      </c>
    </row>
    <row r="150" spans="1:10" x14ac:dyDescent="0.3">
      <c r="A150">
        <v>1149</v>
      </c>
      <c r="B150" s="1">
        <v>46028</v>
      </c>
      <c r="C150" t="s">
        <v>184</v>
      </c>
      <c r="D150" t="s">
        <v>11</v>
      </c>
      <c r="E150" t="s">
        <v>28</v>
      </c>
      <c r="F150" t="s">
        <v>13</v>
      </c>
      <c r="G150">
        <v>1</v>
      </c>
      <c r="H150">
        <v>7000</v>
      </c>
      <c r="I150">
        <v>7000</v>
      </c>
      <c r="J150" t="s">
        <v>25</v>
      </c>
    </row>
    <row r="151" spans="1:10" x14ac:dyDescent="0.3">
      <c r="A151">
        <v>1150</v>
      </c>
      <c r="B151" s="1">
        <v>46048</v>
      </c>
      <c r="C151" t="s">
        <v>185</v>
      </c>
      <c r="D151" t="s">
        <v>46</v>
      </c>
      <c r="E151" t="s">
        <v>34</v>
      </c>
      <c r="F151" t="s">
        <v>18</v>
      </c>
      <c r="G151">
        <v>3</v>
      </c>
      <c r="H151">
        <v>1200</v>
      </c>
      <c r="I151">
        <v>3600</v>
      </c>
      <c r="J151" t="s">
        <v>25</v>
      </c>
    </row>
    <row r="152" spans="1:10" x14ac:dyDescent="0.3">
      <c r="A152">
        <v>1151</v>
      </c>
      <c r="B152" s="1">
        <v>46082</v>
      </c>
      <c r="C152" t="s">
        <v>186</v>
      </c>
      <c r="D152" t="s">
        <v>11</v>
      </c>
      <c r="E152" t="s">
        <v>34</v>
      </c>
      <c r="F152" t="s">
        <v>18</v>
      </c>
      <c r="G152">
        <v>1</v>
      </c>
      <c r="H152">
        <v>1200</v>
      </c>
      <c r="I152">
        <v>1200</v>
      </c>
      <c r="J152" t="s">
        <v>25</v>
      </c>
    </row>
    <row r="153" spans="1:10" x14ac:dyDescent="0.3">
      <c r="A153">
        <v>1152</v>
      </c>
      <c r="B153" s="1">
        <v>46033</v>
      </c>
      <c r="C153" t="s">
        <v>187</v>
      </c>
      <c r="D153" t="s">
        <v>11</v>
      </c>
      <c r="E153" t="s">
        <v>12</v>
      </c>
      <c r="F153" t="s">
        <v>13</v>
      </c>
      <c r="G153">
        <v>3</v>
      </c>
      <c r="H153">
        <v>15000</v>
      </c>
      <c r="I153">
        <v>45000</v>
      </c>
      <c r="J153" t="s">
        <v>19</v>
      </c>
    </row>
    <row r="154" spans="1:10" x14ac:dyDescent="0.3">
      <c r="A154">
        <v>1153</v>
      </c>
      <c r="B154" s="1">
        <v>46069</v>
      </c>
      <c r="C154" t="s">
        <v>188</v>
      </c>
      <c r="D154" t="s">
        <v>39</v>
      </c>
      <c r="E154" t="s">
        <v>55</v>
      </c>
      <c r="F154" t="s">
        <v>50</v>
      </c>
      <c r="G154">
        <v>1</v>
      </c>
      <c r="H154">
        <v>2000</v>
      </c>
      <c r="I154">
        <v>2000</v>
      </c>
      <c r="J154" t="s">
        <v>25</v>
      </c>
    </row>
    <row r="155" spans="1:10" x14ac:dyDescent="0.3">
      <c r="A155">
        <v>1154</v>
      </c>
      <c r="B155" s="1">
        <v>46056</v>
      </c>
      <c r="C155" t="s">
        <v>189</v>
      </c>
      <c r="D155" t="s">
        <v>11</v>
      </c>
      <c r="E155" t="s">
        <v>12</v>
      </c>
      <c r="F155" t="s">
        <v>13</v>
      </c>
      <c r="G155">
        <v>1</v>
      </c>
      <c r="H155">
        <v>15000</v>
      </c>
      <c r="I155">
        <v>15000</v>
      </c>
      <c r="J155" t="s">
        <v>25</v>
      </c>
    </row>
    <row r="156" spans="1:10" x14ac:dyDescent="0.3">
      <c r="A156">
        <v>1155</v>
      </c>
      <c r="B156" s="1">
        <v>46054</v>
      </c>
      <c r="C156" t="s">
        <v>190</v>
      </c>
      <c r="D156" t="s">
        <v>39</v>
      </c>
      <c r="E156" t="s">
        <v>24</v>
      </c>
      <c r="F156" t="s">
        <v>18</v>
      </c>
      <c r="G156">
        <v>3</v>
      </c>
      <c r="H156">
        <v>2000</v>
      </c>
      <c r="I156">
        <v>6000</v>
      </c>
      <c r="J156" t="s">
        <v>19</v>
      </c>
    </row>
    <row r="157" spans="1:10" x14ac:dyDescent="0.3">
      <c r="A157">
        <v>1156</v>
      </c>
      <c r="B157" s="1">
        <v>46073</v>
      </c>
      <c r="C157" t="s">
        <v>191</v>
      </c>
      <c r="D157" t="s">
        <v>46</v>
      </c>
      <c r="E157" t="s">
        <v>28</v>
      </c>
      <c r="F157" t="s">
        <v>13</v>
      </c>
      <c r="G157">
        <v>3</v>
      </c>
      <c r="H157">
        <v>7000</v>
      </c>
      <c r="I157">
        <v>21000</v>
      </c>
      <c r="J157" t="s">
        <v>14</v>
      </c>
    </row>
    <row r="158" spans="1:10" x14ac:dyDescent="0.3">
      <c r="A158">
        <v>1157</v>
      </c>
      <c r="B158" s="1">
        <v>46056</v>
      </c>
      <c r="C158" t="s">
        <v>192</v>
      </c>
      <c r="D158" t="s">
        <v>27</v>
      </c>
      <c r="E158" t="s">
        <v>58</v>
      </c>
      <c r="F158" t="s">
        <v>13</v>
      </c>
      <c r="G158">
        <v>2</v>
      </c>
      <c r="H158">
        <v>20000</v>
      </c>
      <c r="I158">
        <v>40000</v>
      </c>
      <c r="J158" t="s">
        <v>19</v>
      </c>
    </row>
    <row r="159" spans="1:10" x14ac:dyDescent="0.3">
      <c r="A159">
        <v>1158</v>
      </c>
      <c r="B159" s="1">
        <v>46029</v>
      </c>
      <c r="C159" t="s">
        <v>193</v>
      </c>
      <c r="D159" t="s">
        <v>39</v>
      </c>
      <c r="E159" t="s">
        <v>12</v>
      </c>
      <c r="F159" t="s">
        <v>13</v>
      </c>
      <c r="G159">
        <v>2</v>
      </c>
      <c r="H159">
        <v>15000</v>
      </c>
      <c r="I159">
        <v>30000</v>
      </c>
      <c r="J159" t="s">
        <v>25</v>
      </c>
    </row>
    <row r="160" spans="1:10" x14ac:dyDescent="0.3">
      <c r="A160">
        <v>1159</v>
      </c>
      <c r="B160" s="1">
        <v>46052</v>
      </c>
      <c r="C160" t="s">
        <v>194</v>
      </c>
      <c r="D160" t="s">
        <v>23</v>
      </c>
      <c r="E160" t="s">
        <v>58</v>
      </c>
      <c r="F160" t="s">
        <v>13</v>
      </c>
      <c r="G160">
        <v>2</v>
      </c>
      <c r="H160">
        <v>20000</v>
      </c>
      <c r="I160">
        <v>40000</v>
      </c>
      <c r="J160" t="s">
        <v>25</v>
      </c>
    </row>
    <row r="161" spans="1:10" x14ac:dyDescent="0.3">
      <c r="A161">
        <v>1160</v>
      </c>
      <c r="B161" s="1">
        <v>46080</v>
      </c>
      <c r="C161" t="s">
        <v>195</v>
      </c>
      <c r="D161" t="s">
        <v>23</v>
      </c>
      <c r="E161" t="s">
        <v>58</v>
      </c>
      <c r="F161" t="s">
        <v>13</v>
      </c>
      <c r="G161">
        <v>1</v>
      </c>
      <c r="H161">
        <v>20000</v>
      </c>
      <c r="I161">
        <v>20000</v>
      </c>
      <c r="J161" t="s">
        <v>25</v>
      </c>
    </row>
    <row r="162" spans="1:10" x14ac:dyDescent="0.3">
      <c r="A162">
        <v>1161</v>
      </c>
      <c r="B162" s="1">
        <v>46065</v>
      </c>
      <c r="C162" t="s">
        <v>196</v>
      </c>
      <c r="D162" t="s">
        <v>54</v>
      </c>
      <c r="E162" t="s">
        <v>34</v>
      </c>
      <c r="F162" t="s">
        <v>18</v>
      </c>
      <c r="G162">
        <v>3</v>
      </c>
      <c r="H162">
        <v>1200</v>
      </c>
      <c r="I162">
        <v>3600</v>
      </c>
      <c r="J162" t="s">
        <v>19</v>
      </c>
    </row>
    <row r="163" spans="1:10" x14ac:dyDescent="0.3">
      <c r="A163">
        <v>1162</v>
      </c>
      <c r="B163" s="1">
        <v>46039</v>
      </c>
      <c r="C163" t="s">
        <v>197</v>
      </c>
      <c r="D163" t="s">
        <v>39</v>
      </c>
      <c r="E163" t="s">
        <v>49</v>
      </c>
      <c r="F163" t="s">
        <v>50</v>
      </c>
      <c r="G163">
        <v>2</v>
      </c>
      <c r="H163">
        <v>3000</v>
      </c>
      <c r="I163">
        <v>6000</v>
      </c>
      <c r="J163" t="s">
        <v>14</v>
      </c>
    </row>
    <row r="164" spans="1:10" x14ac:dyDescent="0.3">
      <c r="A164">
        <v>1163</v>
      </c>
      <c r="B164" s="1">
        <v>46064</v>
      </c>
      <c r="C164" t="s">
        <v>198</v>
      </c>
      <c r="D164" t="s">
        <v>21</v>
      </c>
      <c r="E164" t="s">
        <v>43</v>
      </c>
      <c r="F164" t="s">
        <v>13</v>
      </c>
      <c r="G164">
        <v>2</v>
      </c>
      <c r="H164">
        <v>1500</v>
      </c>
      <c r="I164">
        <v>3000</v>
      </c>
      <c r="J164" t="s">
        <v>14</v>
      </c>
    </row>
    <row r="165" spans="1:10" x14ac:dyDescent="0.3">
      <c r="A165">
        <v>1164</v>
      </c>
      <c r="B165" s="1">
        <v>46039</v>
      </c>
      <c r="C165" t="s">
        <v>199</v>
      </c>
      <c r="D165" t="s">
        <v>39</v>
      </c>
      <c r="E165" t="s">
        <v>28</v>
      </c>
      <c r="F165" t="s">
        <v>13</v>
      </c>
      <c r="G165">
        <v>1</v>
      </c>
      <c r="H165">
        <v>7000</v>
      </c>
      <c r="I165">
        <v>7000</v>
      </c>
      <c r="J165" t="s">
        <v>14</v>
      </c>
    </row>
    <row r="166" spans="1:10" x14ac:dyDescent="0.3">
      <c r="A166">
        <v>1165</v>
      </c>
      <c r="B166" s="1">
        <v>46038</v>
      </c>
      <c r="C166" t="s">
        <v>200</v>
      </c>
      <c r="D166" t="s">
        <v>36</v>
      </c>
      <c r="E166" t="s">
        <v>37</v>
      </c>
      <c r="F166" t="s">
        <v>13</v>
      </c>
      <c r="G166">
        <v>3</v>
      </c>
      <c r="H166">
        <v>55000</v>
      </c>
      <c r="I166">
        <v>165000</v>
      </c>
      <c r="J166" t="s">
        <v>14</v>
      </c>
    </row>
    <row r="167" spans="1:10" x14ac:dyDescent="0.3">
      <c r="A167">
        <v>1166</v>
      </c>
      <c r="B167" s="1">
        <v>46071</v>
      </c>
      <c r="C167" t="s">
        <v>201</v>
      </c>
      <c r="D167" t="s">
        <v>21</v>
      </c>
      <c r="E167" t="s">
        <v>24</v>
      </c>
      <c r="F167" t="s">
        <v>18</v>
      </c>
      <c r="G167">
        <v>1</v>
      </c>
      <c r="H167">
        <v>2000</v>
      </c>
      <c r="I167">
        <v>2000</v>
      </c>
      <c r="J167" t="s">
        <v>14</v>
      </c>
    </row>
    <row r="168" spans="1:10" x14ac:dyDescent="0.3">
      <c r="A168">
        <v>1167</v>
      </c>
      <c r="B168" s="1">
        <v>46078</v>
      </c>
      <c r="C168" t="s">
        <v>202</v>
      </c>
      <c r="D168" t="s">
        <v>21</v>
      </c>
      <c r="E168" t="s">
        <v>28</v>
      </c>
      <c r="F168" t="s">
        <v>13</v>
      </c>
      <c r="G168">
        <v>2</v>
      </c>
      <c r="H168">
        <v>7000</v>
      </c>
      <c r="I168">
        <v>14000</v>
      </c>
      <c r="J168" t="s">
        <v>19</v>
      </c>
    </row>
    <row r="169" spans="1:10" x14ac:dyDescent="0.3">
      <c r="A169">
        <v>1168</v>
      </c>
      <c r="B169" s="1">
        <v>46042</v>
      </c>
      <c r="C169" t="s">
        <v>203</v>
      </c>
      <c r="D169" t="s">
        <v>54</v>
      </c>
      <c r="E169" t="s">
        <v>55</v>
      </c>
      <c r="F169" t="s">
        <v>50</v>
      </c>
      <c r="G169">
        <v>1</v>
      </c>
      <c r="H169">
        <v>2000</v>
      </c>
      <c r="I169">
        <v>2000</v>
      </c>
      <c r="J169" t="s">
        <v>14</v>
      </c>
    </row>
    <row r="170" spans="1:10" x14ac:dyDescent="0.3">
      <c r="A170">
        <v>1169</v>
      </c>
      <c r="B170" s="1">
        <v>46053</v>
      </c>
      <c r="C170" t="s">
        <v>204</v>
      </c>
      <c r="D170" t="s">
        <v>23</v>
      </c>
      <c r="E170" t="s">
        <v>55</v>
      </c>
      <c r="F170" t="s">
        <v>50</v>
      </c>
      <c r="G170">
        <v>2</v>
      </c>
      <c r="H170">
        <v>2000</v>
      </c>
      <c r="I170">
        <v>4000</v>
      </c>
      <c r="J170" t="s">
        <v>19</v>
      </c>
    </row>
    <row r="171" spans="1:10" x14ac:dyDescent="0.3">
      <c r="A171">
        <v>1170</v>
      </c>
      <c r="B171" s="1">
        <v>46040</v>
      </c>
      <c r="C171" t="s">
        <v>205</v>
      </c>
      <c r="D171" t="s">
        <v>11</v>
      </c>
      <c r="E171" t="s">
        <v>37</v>
      </c>
      <c r="F171" t="s">
        <v>13</v>
      </c>
      <c r="G171">
        <v>2</v>
      </c>
      <c r="H171">
        <v>55000</v>
      </c>
      <c r="I171">
        <v>110000</v>
      </c>
      <c r="J171" t="s">
        <v>19</v>
      </c>
    </row>
    <row r="172" spans="1:10" x14ac:dyDescent="0.3">
      <c r="A172">
        <v>1171</v>
      </c>
      <c r="B172" s="1">
        <v>46051</v>
      </c>
      <c r="C172" t="s">
        <v>206</v>
      </c>
      <c r="D172" t="s">
        <v>54</v>
      </c>
      <c r="E172" t="s">
        <v>12</v>
      </c>
      <c r="F172" t="s">
        <v>13</v>
      </c>
      <c r="G172">
        <v>2</v>
      </c>
      <c r="H172">
        <v>15000</v>
      </c>
      <c r="I172">
        <v>30000</v>
      </c>
      <c r="J172" t="s">
        <v>25</v>
      </c>
    </row>
    <row r="173" spans="1:10" x14ac:dyDescent="0.3">
      <c r="A173">
        <v>1172</v>
      </c>
      <c r="B173" s="1">
        <v>46038</v>
      </c>
      <c r="C173" t="s">
        <v>207</v>
      </c>
      <c r="D173" t="s">
        <v>46</v>
      </c>
      <c r="E173" t="s">
        <v>17</v>
      </c>
      <c r="F173" t="s">
        <v>18</v>
      </c>
      <c r="G173">
        <v>3</v>
      </c>
      <c r="H173">
        <v>500</v>
      </c>
      <c r="I173">
        <v>1500</v>
      </c>
      <c r="J173" t="s">
        <v>14</v>
      </c>
    </row>
    <row r="174" spans="1:10" x14ac:dyDescent="0.3">
      <c r="A174">
        <v>1173</v>
      </c>
      <c r="B174" s="1">
        <v>46075</v>
      </c>
      <c r="C174" t="s">
        <v>208</v>
      </c>
      <c r="D174" t="s">
        <v>36</v>
      </c>
      <c r="E174" t="s">
        <v>49</v>
      </c>
      <c r="F174" t="s">
        <v>50</v>
      </c>
      <c r="G174">
        <v>3</v>
      </c>
      <c r="H174">
        <v>3000</v>
      </c>
      <c r="I174">
        <v>9000</v>
      </c>
      <c r="J174" t="s">
        <v>25</v>
      </c>
    </row>
    <row r="175" spans="1:10" x14ac:dyDescent="0.3">
      <c r="A175">
        <v>1174</v>
      </c>
      <c r="B175" s="1">
        <v>46052</v>
      </c>
      <c r="C175" t="s">
        <v>209</v>
      </c>
      <c r="D175" t="s">
        <v>11</v>
      </c>
      <c r="E175" t="s">
        <v>43</v>
      </c>
      <c r="F175" t="s">
        <v>13</v>
      </c>
      <c r="G175">
        <v>3</v>
      </c>
      <c r="H175">
        <v>1500</v>
      </c>
      <c r="I175">
        <v>4500</v>
      </c>
      <c r="J175" t="s">
        <v>19</v>
      </c>
    </row>
    <row r="176" spans="1:10" x14ac:dyDescent="0.3">
      <c r="A176">
        <v>1175</v>
      </c>
      <c r="B176" s="1">
        <v>46060</v>
      </c>
      <c r="C176" t="s">
        <v>210</v>
      </c>
      <c r="D176" t="s">
        <v>27</v>
      </c>
      <c r="E176" t="s">
        <v>17</v>
      </c>
      <c r="F176" t="s">
        <v>18</v>
      </c>
      <c r="G176">
        <v>3</v>
      </c>
      <c r="H176">
        <v>500</v>
      </c>
      <c r="I176">
        <v>1500</v>
      </c>
      <c r="J176" t="s">
        <v>25</v>
      </c>
    </row>
    <row r="177" spans="1:10" x14ac:dyDescent="0.3">
      <c r="A177">
        <v>1176</v>
      </c>
      <c r="B177" s="1">
        <v>46075</v>
      </c>
      <c r="C177" t="s">
        <v>211</v>
      </c>
      <c r="D177" t="s">
        <v>11</v>
      </c>
      <c r="E177" t="s">
        <v>12</v>
      </c>
      <c r="F177" t="s">
        <v>13</v>
      </c>
      <c r="G177">
        <v>2</v>
      </c>
      <c r="H177">
        <v>15000</v>
      </c>
      <c r="I177">
        <v>30000</v>
      </c>
      <c r="J177" t="s">
        <v>14</v>
      </c>
    </row>
    <row r="178" spans="1:10" x14ac:dyDescent="0.3">
      <c r="A178">
        <v>1177</v>
      </c>
      <c r="B178" s="1">
        <v>46065</v>
      </c>
      <c r="C178" t="s">
        <v>212</v>
      </c>
      <c r="D178" t="s">
        <v>39</v>
      </c>
      <c r="E178" t="s">
        <v>43</v>
      </c>
      <c r="F178" t="s">
        <v>13</v>
      </c>
      <c r="G178">
        <v>2</v>
      </c>
      <c r="H178">
        <v>1500</v>
      </c>
      <c r="I178">
        <v>3000</v>
      </c>
      <c r="J178" t="s">
        <v>19</v>
      </c>
    </row>
    <row r="179" spans="1:10" x14ac:dyDescent="0.3">
      <c r="A179">
        <v>1178</v>
      </c>
      <c r="B179" s="1">
        <v>46050</v>
      </c>
      <c r="C179" t="s">
        <v>213</v>
      </c>
      <c r="D179" t="s">
        <v>21</v>
      </c>
      <c r="E179" t="s">
        <v>58</v>
      </c>
      <c r="F179" t="s">
        <v>13</v>
      </c>
      <c r="G179">
        <v>3</v>
      </c>
      <c r="H179">
        <v>20000</v>
      </c>
      <c r="I179">
        <v>60000</v>
      </c>
      <c r="J179" t="s">
        <v>14</v>
      </c>
    </row>
    <row r="180" spans="1:10" x14ac:dyDescent="0.3">
      <c r="A180">
        <v>1179</v>
      </c>
      <c r="B180" s="1">
        <v>46081</v>
      </c>
      <c r="C180" t="s">
        <v>214</v>
      </c>
      <c r="D180" t="s">
        <v>46</v>
      </c>
      <c r="E180" t="s">
        <v>24</v>
      </c>
      <c r="F180" t="s">
        <v>18</v>
      </c>
      <c r="G180">
        <v>3</v>
      </c>
      <c r="H180">
        <v>2000</v>
      </c>
      <c r="I180">
        <v>6000</v>
      </c>
      <c r="J180" t="s">
        <v>14</v>
      </c>
    </row>
    <row r="181" spans="1:10" x14ac:dyDescent="0.3">
      <c r="A181">
        <v>1180</v>
      </c>
      <c r="B181" s="1">
        <v>46062</v>
      </c>
      <c r="C181" t="s">
        <v>215</v>
      </c>
      <c r="D181" t="s">
        <v>54</v>
      </c>
      <c r="E181" t="s">
        <v>17</v>
      </c>
      <c r="F181" t="s">
        <v>18</v>
      </c>
      <c r="G181">
        <v>1</v>
      </c>
      <c r="H181">
        <v>500</v>
      </c>
      <c r="I181">
        <v>500</v>
      </c>
      <c r="J181" t="s">
        <v>14</v>
      </c>
    </row>
    <row r="182" spans="1:10" x14ac:dyDescent="0.3">
      <c r="A182">
        <v>1181</v>
      </c>
      <c r="B182" s="1">
        <v>46065</v>
      </c>
      <c r="C182" t="s">
        <v>216</v>
      </c>
      <c r="D182" t="s">
        <v>54</v>
      </c>
      <c r="E182" t="s">
        <v>58</v>
      </c>
      <c r="F182" t="s">
        <v>13</v>
      </c>
      <c r="G182">
        <v>1</v>
      </c>
      <c r="H182">
        <v>20000</v>
      </c>
      <c r="I182">
        <v>20000</v>
      </c>
      <c r="J182" t="s">
        <v>14</v>
      </c>
    </row>
    <row r="183" spans="1:10" x14ac:dyDescent="0.3">
      <c r="A183">
        <v>1182</v>
      </c>
      <c r="B183" s="1">
        <v>46037</v>
      </c>
      <c r="C183" t="s">
        <v>217</v>
      </c>
      <c r="D183" t="s">
        <v>46</v>
      </c>
      <c r="E183" t="s">
        <v>55</v>
      </c>
      <c r="F183" t="s">
        <v>50</v>
      </c>
      <c r="G183">
        <v>3</v>
      </c>
      <c r="H183">
        <v>2000</v>
      </c>
      <c r="I183">
        <v>6000</v>
      </c>
      <c r="J183" t="s">
        <v>14</v>
      </c>
    </row>
    <row r="184" spans="1:10" x14ac:dyDescent="0.3">
      <c r="A184">
        <v>1183</v>
      </c>
      <c r="B184" s="1">
        <v>46067</v>
      </c>
      <c r="C184" t="s">
        <v>218</v>
      </c>
      <c r="D184" t="s">
        <v>27</v>
      </c>
      <c r="E184" t="s">
        <v>43</v>
      </c>
      <c r="F184" t="s">
        <v>13</v>
      </c>
      <c r="G184">
        <v>3</v>
      </c>
      <c r="H184">
        <v>1500</v>
      </c>
      <c r="I184">
        <v>4500</v>
      </c>
      <c r="J184" t="s">
        <v>19</v>
      </c>
    </row>
    <row r="185" spans="1:10" x14ac:dyDescent="0.3">
      <c r="A185">
        <v>1184</v>
      </c>
      <c r="B185" s="1">
        <v>46044</v>
      </c>
      <c r="C185" t="s">
        <v>219</v>
      </c>
      <c r="D185" t="s">
        <v>21</v>
      </c>
      <c r="E185" t="s">
        <v>37</v>
      </c>
      <c r="F185" t="s">
        <v>13</v>
      </c>
      <c r="G185">
        <v>2</v>
      </c>
      <c r="H185">
        <v>55000</v>
      </c>
      <c r="I185">
        <v>110000</v>
      </c>
      <c r="J185" t="s">
        <v>19</v>
      </c>
    </row>
    <row r="186" spans="1:10" x14ac:dyDescent="0.3">
      <c r="A186">
        <v>1185</v>
      </c>
      <c r="B186" s="1">
        <v>46032</v>
      </c>
      <c r="C186" t="s">
        <v>220</v>
      </c>
      <c r="D186" t="s">
        <v>36</v>
      </c>
      <c r="E186" t="s">
        <v>34</v>
      </c>
      <c r="F186" t="s">
        <v>18</v>
      </c>
      <c r="G186">
        <v>1</v>
      </c>
      <c r="H186">
        <v>1200</v>
      </c>
      <c r="I186">
        <v>1200</v>
      </c>
      <c r="J186" t="s">
        <v>14</v>
      </c>
    </row>
    <row r="187" spans="1:10" x14ac:dyDescent="0.3">
      <c r="A187">
        <v>1186</v>
      </c>
      <c r="B187" s="1">
        <v>46078</v>
      </c>
      <c r="C187" t="s">
        <v>221</v>
      </c>
      <c r="D187" t="s">
        <v>54</v>
      </c>
      <c r="E187" t="s">
        <v>34</v>
      </c>
      <c r="F187" t="s">
        <v>18</v>
      </c>
      <c r="G187">
        <v>3</v>
      </c>
      <c r="H187">
        <v>1200</v>
      </c>
      <c r="I187">
        <v>3600</v>
      </c>
      <c r="J187" t="s">
        <v>14</v>
      </c>
    </row>
    <row r="188" spans="1:10" x14ac:dyDescent="0.3">
      <c r="A188">
        <v>1187</v>
      </c>
      <c r="B188" s="1">
        <v>46042</v>
      </c>
      <c r="C188" t="s">
        <v>222</v>
      </c>
      <c r="D188" t="s">
        <v>27</v>
      </c>
      <c r="E188" t="s">
        <v>37</v>
      </c>
      <c r="F188" t="s">
        <v>13</v>
      </c>
      <c r="G188">
        <v>1</v>
      </c>
      <c r="H188">
        <v>55000</v>
      </c>
      <c r="I188">
        <v>55000</v>
      </c>
      <c r="J188" t="s">
        <v>14</v>
      </c>
    </row>
    <row r="189" spans="1:10" x14ac:dyDescent="0.3">
      <c r="A189">
        <v>1188</v>
      </c>
      <c r="B189" s="1">
        <v>46075</v>
      </c>
      <c r="C189" t="s">
        <v>223</v>
      </c>
      <c r="D189" t="s">
        <v>16</v>
      </c>
      <c r="E189" t="s">
        <v>58</v>
      </c>
      <c r="F189" t="s">
        <v>13</v>
      </c>
      <c r="G189">
        <v>1</v>
      </c>
      <c r="H189">
        <v>20000</v>
      </c>
      <c r="I189">
        <v>20000</v>
      </c>
      <c r="J189" t="s">
        <v>19</v>
      </c>
    </row>
    <row r="190" spans="1:10" x14ac:dyDescent="0.3">
      <c r="A190">
        <v>1189</v>
      </c>
      <c r="B190" s="1">
        <v>46034</v>
      </c>
      <c r="C190" t="s">
        <v>224</v>
      </c>
      <c r="D190" t="s">
        <v>11</v>
      </c>
      <c r="E190" t="s">
        <v>49</v>
      </c>
      <c r="F190" t="s">
        <v>50</v>
      </c>
      <c r="G190">
        <v>1</v>
      </c>
      <c r="H190">
        <v>3000</v>
      </c>
      <c r="I190">
        <v>3000</v>
      </c>
      <c r="J190" t="s">
        <v>25</v>
      </c>
    </row>
    <row r="191" spans="1:10" x14ac:dyDescent="0.3">
      <c r="A191">
        <v>1190</v>
      </c>
      <c r="B191" s="1">
        <v>46063</v>
      </c>
      <c r="C191" t="s">
        <v>225</v>
      </c>
      <c r="D191" t="s">
        <v>16</v>
      </c>
      <c r="E191" t="s">
        <v>55</v>
      </c>
      <c r="F191" t="s">
        <v>50</v>
      </c>
      <c r="G191">
        <v>1</v>
      </c>
      <c r="H191">
        <v>2000</v>
      </c>
      <c r="I191">
        <v>2000</v>
      </c>
      <c r="J191" t="s">
        <v>14</v>
      </c>
    </row>
    <row r="192" spans="1:10" x14ac:dyDescent="0.3">
      <c r="A192">
        <v>1191</v>
      </c>
      <c r="B192" s="1">
        <v>46044</v>
      </c>
      <c r="C192" t="s">
        <v>226</v>
      </c>
      <c r="D192" t="s">
        <v>39</v>
      </c>
      <c r="E192" t="s">
        <v>12</v>
      </c>
      <c r="F192" t="s">
        <v>13</v>
      </c>
      <c r="G192">
        <v>2</v>
      </c>
      <c r="H192">
        <v>15000</v>
      </c>
      <c r="I192">
        <v>30000</v>
      </c>
      <c r="J192" t="s">
        <v>19</v>
      </c>
    </row>
    <row r="193" spans="1:10" x14ac:dyDescent="0.3">
      <c r="A193">
        <v>1192</v>
      </c>
      <c r="B193" s="1">
        <v>46045</v>
      </c>
      <c r="C193" t="s">
        <v>227</v>
      </c>
      <c r="D193" t="s">
        <v>27</v>
      </c>
      <c r="E193" t="s">
        <v>28</v>
      </c>
      <c r="F193" t="s">
        <v>13</v>
      </c>
      <c r="G193">
        <v>2</v>
      </c>
      <c r="H193">
        <v>7000</v>
      </c>
      <c r="I193">
        <v>14000</v>
      </c>
      <c r="J193" t="s">
        <v>25</v>
      </c>
    </row>
    <row r="194" spans="1:10" x14ac:dyDescent="0.3">
      <c r="A194">
        <v>1193</v>
      </c>
      <c r="B194" s="1">
        <v>46034</v>
      </c>
      <c r="C194" t="s">
        <v>228</v>
      </c>
      <c r="D194" t="s">
        <v>27</v>
      </c>
      <c r="E194" t="s">
        <v>24</v>
      </c>
      <c r="F194" t="s">
        <v>18</v>
      </c>
      <c r="G194">
        <v>3</v>
      </c>
      <c r="H194">
        <v>2000</v>
      </c>
      <c r="I194">
        <v>6000</v>
      </c>
      <c r="J194" t="s">
        <v>19</v>
      </c>
    </row>
    <row r="195" spans="1:10" x14ac:dyDescent="0.3">
      <c r="A195">
        <v>1194</v>
      </c>
      <c r="B195" s="1">
        <v>46028</v>
      </c>
      <c r="C195" t="s">
        <v>229</v>
      </c>
      <c r="D195" t="s">
        <v>46</v>
      </c>
      <c r="E195" t="s">
        <v>55</v>
      </c>
      <c r="F195" t="s">
        <v>50</v>
      </c>
      <c r="G195">
        <v>2</v>
      </c>
      <c r="H195">
        <v>2000</v>
      </c>
      <c r="I195">
        <v>4000</v>
      </c>
      <c r="J195" t="s">
        <v>19</v>
      </c>
    </row>
    <row r="196" spans="1:10" x14ac:dyDescent="0.3">
      <c r="A196">
        <v>1195</v>
      </c>
      <c r="B196" s="1">
        <v>46063</v>
      </c>
      <c r="C196" t="s">
        <v>230</v>
      </c>
      <c r="D196" t="s">
        <v>39</v>
      </c>
      <c r="E196" t="s">
        <v>12</v>
      </c>
      <c r="F196" t="s">
        <v>13</v>
      </c>
      <c r="G196">
        <v>2</v>
      </c>
      <c r="H196">
        <v>15000</v>
      </c>
      <c r="I196">
        <v>30000</v>
      </c>
      <c r="J196" t="s">
        <v>19</v>
      </c>
    </row>
    <row r="197" spans="1:10" x14ac:dyDescent="0.3">
      <c r="A197">
        <v>1196</v>
      </c>
      <c r="B197" s="1">
        <v>46029</v>
      </c>
      <c r="C197" t="s">
        <v>231</v>
      </c>
      <c r="D197" t="s">
        <v>21</v>
      </c>
      <c r="E197" t="s">
        <v>24</v>
      </c>
      <c r="F197" t="s">
        <v>18</v>
      </c>
      <c r="G197">
        <v>2</v>
      </c>
      <c r="H197">
        <v>2000</v>
      </c>
      <c r="I197">
        <v>4000</v>
      </c>
      <c r="J197" t="s">
        <v>25</v>
      </c>
    </row>
    <row r="198" spans="1:10" x14ac:dyDescent="0.3">
      <c r="A198">
        <v>1197</v>
      </c>
      <c r="B198" s="1">
        <v>46079</v>
      </c>
      <c r="C198" t="s">
        <v>232</v>
      </c>
      <c r="D198" t="s">
        <v>46</v>
      </c>
      <c r="E198" t="s">
        <v>49</v>
      </c>
      <c r="F198" t="s">
        <v>50</v>
      </c>
      <c r="G198">
        <v>3</v>
      </c>
      <c r="H198">
        <v>3000</v>
      </c>
      <c r="I198">
        <v>9000</v>
      </c>
      <c r="J198" t="s">
        <v>14</v>
      </c>
    </row>
    <row r="199" spans="1:10" x14ac:dyDescent="0.3">
      <c r="A199">
        <v>1198</v>
      </c>
      <c r="B199" s="1">
        <v>46046</v>
      </c>
      <c r="C199" t="s">
        <v>233</v>
      </c>
      <c r="D199" t="s">
        <v>11</v>
      </c>
      <c r="E199" t="s">
        <v>34</v>
      </c>
      <c r="F199" t="s">
        <v>18</v>
      </c>
      <c r="G199">
        <v>2</v>
      </c>
      <c r="H199">
        <v>1200</v>
      </c>
      <c r="I199">
        <v>2400</v>
      </c>
      <c r="J199" t="s">
        <v>25</v>
      </c>
    </row>
    <row r="200" spans="1:10" x14ac:dyDescent="0.3">
      <c r="A200">
        <v>1199</v>
      </c>
      <c r="B200" s="1">
        <v>46044</v>
      </c>
      <c r="C200" t="s">
        <v>234</v>
      </c>
      <c r="D200" t="s">
        <v>36</v>
      </c>
      <c r="E200" t="s">
        <v>49</v>
      </c>
      <c r="F200" t="s">
        <v>50</v>
      </c>
      <c r="G200">
        <v>3</v>
      </c>
      <c r="H200">
        <v>3000</v>
      </c>
      <c r="I200">
        <v>9000</v>
      </c>
      <c r="J200" t="s">
        <v>25</v>
      </c>
    </row>
    <row r="201" spans="1:10" x14ac:dyDescent="0.3">
      <c r="A201">
        <v>1200</v>
      </c>
      <c r="B201" s="1">
        <v>46026</v>
      </c>
      <c r="C201" t="s">
        <v>235</v>
      </c>
      <c r="D201" t="s">
        <v>39</v>
      </c>
      <c r="E201" t="s">
        <v>58</v>
      </c>
      <c r="F201" t="s">
        <v>13</v>
      </c>
      <c r="G201">
        <v>3</v>
      </c>
      <c r="H201">
        <v>20000</v>
      </c>
      <c r="I201">
        <v>60000</v>
      </c>
      <c r="J201" t="s">
        <v>14</v>
      </c>
    </row>
    <row r="202" spans="1:10" x14ac:dyDescent="0.3">
      <c r="A202">
        <v>1201</v>
      </c>
      <c r="B202" s="1">
        <v>46075</v>
      </c>
      <c r="C202" t="s">
        <v>236</v>
      </c>
      <c r="D202" t="s">
        <v>21</v>
      </c>
      <c r="E202" t="s">
        <v>43</v>
      </c>
      <c r="F202" t="s">
        <v>13</v>
      </c>
      <c r="G202">
        <v>3</v>
      </c>
      <c r="H202">
        <v>1500</v>
      </c>
      <c r="I202">
        <v>4500</v>
      </c>
      <c r="J202" t="s">
        <v>25</v>
      </c>
    </row>
    <row r="203" spans="1:10" x14ac:dyDescent="0.3">
      <c r="A203">
        <v>1202</v>
      </c>
      <c r="B203" s="1">
        <v>46059</v>
      </c>
      <c r="C203" t="s">
        <v>237</v>
      </c>
      <c r="D203" t="s">
        <v>30</v>
      </c>
      <c r="E203" t="s">
        <v>24</v>
      </c>
      <c r="F203" t="s">
        <v>18</v>
      </c>
      <c r="G203">
        <v>1</v>
      </c>
      <c r="H203">
        <v>2000</v>
      </c>
      <c r="I203">
        <v>2000</v>
      </c>
      <c r="J203" t="s">
        <v>25</v>
      </c>
    </row>
    <row r="204" spans="1:10" x14ac:dyDescent="0.3">
      <c r="A204">
        <v>1203</v>
      </c>
      <c r="B204" s="1">
        <v>46049</v>
      </c>
      <c r="C204" t="s">
        <v>238</v>
      </c>
      <c r="D204" t="s">
        <v>23</v>
      </c>
      <c r="E204" t="s">
        <v>37</v>
      </c>
      <c r="F204" t="s">
        <v>13</v>
      </c>
      <c r="G204">
        <v>2</v>
      </c>
      <c r="H204">
        <v>55000</v>
      </c>
      <c r="I204">
        <v>110000</v>
      </c>
      <c r="J204" t="s">
        <v>19</v>
      </c>
    </row>
    <row r="205" spans="1:10" x14ac:dyDescent="0.3">
      <c r="A205">
        <v>1204</v>
      </c>
      <c r="B205" s="1">
        <v>46071</v>
      </c>
      <c r="C205" t="s">
        <v>239</v>
      </c>
      <c r="D205" t="s">
        <v>11</v>
      </c>
      <c r="E205" t="s">
        <v>24</v>
      </c>
      <c r="F205" t="s">
        <v>18</v>
      </c>
      <c r="G205">
        <v>3</v>
      </c>
      <c r="H205">
        <v>2000</v>
      </c>
      <c r="I205">
        <v>6000</v>
      </c>
      <c r="J205" t="s">
        <v>25</v>
      </c>
    </row>
    <row r="206" spans="1:10" x14ac:dyDescent="0.3">
      <c r="A206">
        <v>1205</v>
      </c>
      <c r="B206" s="1">
        <v>46048</v>
      </c>
      <c r="C206" t="s">
        <v>240</v>
      </c>
      <c r="D206" t="s">
        <v>46</v>
      </c>
      <c r="E206" t="s">
        <v>12</v>
      </c>
      <c r="F206" t="s">
        <v>13</v>
      </c>
      <c r="G206">
        <v>2</v>
      </c>
      <c r="H206">
        <v>15000</v>
      </c>
      <c r="I206">
        <v>30000</v>
      </c>
      <c r="J206" t="s">
        <v>25</v>
      </c>
    </row>
    <row r="207" spans="1:10" x14ac:dyDescent="0.3">
      <c r="A207">
        <v>1206</v>
      </c>
      <c r="B207" s="1">
        <v>46075</v>
      </c>
      <c r="C207" t="s">
        <v>241</v>
      </c>
      <c r="D207" t="s">
        <v>21</v>
      </c>
      <c r="E207" t="s">
        <v>34</v>
      </c>
      <c r="F207" t="s">
        <v>18</v>
      </c>
      <c r="G207">
        <v>1</v>
      </c>
      <c r="H207">
        <v>1200</v>
      </c>
      <c r="I207">
        <v>1200</v>
      </c>
      <c r="J207" t="s">
        <v>25</v>
      </c>
    </row>
    <row r="208" spans="1:10" x14ac:dyDescent="0.3">
      <c r="A208">
        <v>1207</v>
      </c>
      <c r="B208" s="1">
        <v>46026</v>
      </c>
      <c r="C208" t="s">
        <v>242</v>
      </c>
      <c r="D208" t="s">
        <v>54</v>
      </c>
      <c r="E208" t="s">
        <v>55</v>
      </c>
      <c r="F208" t="s">
        <v>50</v>
      </c>
      <c r="G208">
        <v>3</v>
      </c>
      <c r="H208">
        <v>2000</v>
      </c>
      <c r="I208">
        <v>6000</v>
      </c>
      <c r="J208" t="s">
        <v>14</v>
      </c>
    </row>
    <row r="209" spans="1:10" x14ac:dyDescent="0.3">
      <c r="A209">
        <v>1208</v>
      </c>
      <c r="B209" s="1">
        <v>46047</v>
      </c>
      <c r="C209" t="s">
        <v>243</v>
      </c>
      <c r="D209" t="s">
        <v>36</v>
      </c>
      <c r="E209" t="s">
        <v>17</v>
      </c>
      <c r="F209" t="s">
        <v>18</v>
      </c>
      <c r="G209">
        <v>2</v>
      </c>
      <c r="H209">
        <v>500</v>
      </c>
      <c r="I209">
        <v>1000</v>
      </c>
      <c r="J209" t="s">
        <v>19</v>
      </c>
    </row>
    <row r="210" spans="1:10" x14ac:dyDescent="0.3">
      <c r="A210">
        <v>1209</v>
      </c>
      <c r="B210" s="1">
        <v>46048</v>
      </c>
      <c r="C210" t="s">
        <v>244</v>
      </c>
      <c r="D210" t="s">
        <v>54</v>
      </c>
      <c r="E210" t="s">
        <v>58</v>
      </c>
      <c r="F210" t="s">
        <v>13</v>
      </c>
      <c r="G210">
        <v>1</v>
      </c>
      <c r="H210">
        <v>20000</v>
      </c>
      <c r="I210">
        <v>20000</v>
      </c>
      <c r="J210" t="s">
        <v>19</v>
      </c>
    </row>
    <row r="211" spans="1:10" x14ac:dyDescent="0.3">
      <c r="A211">
        <v>1210</v>
      </c>
      <c r="B211" s="1">
        <v>46033</v>
      </c>
      <c r="C211" t="s">
        <v>245</v>
      </c>
      <c r="D211" t="s">
        <v>21</v>
      </c>
      <c r="E211" t="s">
        <v>58</v>
      </c>
      <c r="F211" t="s">
        <v>13</v>
      </c>
      <c r="G211">
        <v>1</v>
      </c>
      <c r="H211">
        <v>20000</v>
      </c>
      <c r="I211">
        <v>20000</v>
      </c>
      <c r="J211" t="s">
        <v>14</v>
      </c>
    </row>
    <row r="212" spans="1:10" x14ac:dyDescent="0.3">
      <c r="A212">
        <v>1211</v>
      </c>
      <c r="B212" s="1">
        <v>46029</v>
      </c>
      <c r="C212" t="s">
        <v>246</v>
      </c>
      <c r="D212" t="s">
        <v>11</v>
      </c>
      <c r="E212" t="s">
        <v>28</v>
      </c>
      <c r="F212" t="s">
        <v>13</v>
      </c>
      <c r="G212">
        <v>3</v>
      </c>
      <c r="H212">
        <v>7000</v>
      </c>
      <c r="I212">
        <v>21000</v>
      </c>
      <c r="J212" t="s">
        <v>19</v>
      </c>
    </row>
    <row r="213" spans="1:10" x14ac:dyDescent="0.3">
      <c r="A213">
        <v>1212</v>
      </c>
      <c r="B213" s="1">
        <v>46035</v>
      </c>
      <c r="C213" t="s">
        <v>247</v>
      </c>
      <c r="D213" t="s">
        <v>27</v>
      </c>
      <c r="E213" t="s">
        <v>55</v>
      </c>
      <c r="F213" t="s">
        <v>50</v>
      </c>
      <c r="G213">
        <v>1</v>
      </c>
      <c r="H213">
        <v>2000</v>
      </c>
      <c r="I213">
        <v>2000</v>
      </c>
      <c r="J213" t="s">
        <v>25</v>
      </c>
    </row>
    <row r="214" spans="1:10" x14ac:dyDescent="0.3">
      <c r="A214">
        <v>1213</v>
      </c>
      <c r="B214" s="1">
        <v>46050</v>
      </c>
      <c r="C214" t="s">
        <v>248</v>
      </c>
      <c r="D214" t="s">
        <v>23</v>
      </c>
      <c r="E214" t="s">
        <v>17</v>
      </c>
      <c r="F214" t="s">
        <v>18</v>
      </c>
      <c r="G214">
        <v>1</v>
      </c>
      <c r="H214">
        <v>500</v>
      </c>
      <c r="I214">
        <v>500</v>
      </c>
      <c r="J214" t="s">
        <v>14</v>
      </c>
    </row>
    <row r="215" spans="1:10" x14ac:dyDescent="0.3">
      <c r="A215">
        <v>1214</v>
      </c>
      <c r="B215" s="1">
        <v>46047</v>
      </c>
      <c r="C215" t="s">
        <v>249</v>
      </c>
      <c r="D215" t="s">
        <v>21</v>
      </c>
      <c r="E215" t="s">
        <v>28</v>
      </c>
      <c r="F215" t="s">
        <v>13</v>
      </c>
      <c r="G215">
        <v>1</v>
      </c>
      <c r="H215">
        <v>7000</v>
      </c>
      <c r="I215">
        <v>7000</v>
      </c>
      <c r="J215" t="s">
        <v>14</v>
      </c>
    </row>
    <row r="216" spans="1:10" x14ac:dyDescent="0.3">
      <c r="A216">
        <v>1215</v>
      </c>
      <c r="B216" s="1">
        <v>46070</v>
      </c>
      <c r="C216" t="s">
        <v>250</v>
      </c>
      <c r="D216" t="s">
        <v>30</v>
      </c>
      <c r="E216" t="s">
        <v>55</v>
      </c>
      <c r="F216" t="s">
        <v>50</v>
      </c>
      <c r="G216">
        <v>1</v>
      </c>
      <c r="H216">
        <v>2000</v>
      </c>
      <c r="I216">
        <v>2000</v>
      </c>
      <c r="J216" t="s">
        <v>25</v>
      </c>
    </row>
    <row r="217" spans="1:10" x14ac:dyDescent="0.3">
      <c r="A217">
        <v>1216</v>
      </c>
      <c r="B217" s="1">
        <v>46038</v>
      </c>
      <c r="C217" t="s">
        <v>251</v>
      </c>
      <c r="D217" t="s">
        <v>16</v>
      </c>
      <c r="E217" t="s">
        <v>34</v>
      </c>
      <c r="F217" t="s">
        <v>18</v>
      </c>
      <c r="G217">
        <v>1</v>
      </c>
      <c r="H217">
        <v>1200</v>
      </c>
      <c r="I217">
        <v>1200</v>
      </c>
      <c r="J217" t="s">
        <v>14</v>
      </c>
    </row>
    <row r="218" spans="1:10" x14ac:dyDescent="0.3">
      <c r="A218">
        <v>1217</v>
      </c>
      <c r="B218" s="1">
        <v>46063</v>
      </c>
      <c r="C218" t="s">
        <v>252</v>
      </c>
      <c r="D218" t="s">
        <v>16</v>
      </c>
      <c r="E218" t="s">
        <v>37</v>
      </c>
      <c r="F218" t="s">
        <v>13</v>
      </c>
      <c r="G218">
        <v>2</v>
      </c>
      <c r="H218">
        <v>55000</v>
      </c>
      <c r="I218">
        <v>110000</v>
      </c>
      <c r="J218" t="s">
        <v>19</v>
      </c>
    </row>
    <row r="219" spans="1:10" x14ac:dyDescent="0.3">
      <c r="A219">
        <v>1218</v>
      </c>
      <c r="B219" s="1">
        <v>46083</v>
      </c>
      <c r="C219" t="s">
        <v>253</v>
      </c>
      <c r="D219" t="s">
        <v>39</v>
      </c>
      <c r="E219" t="s">
        <v>34</v>
      </c>
      <c r="F219" t="s">
        <v>18</v>
      </c>
      <c r="G219">
        <v>2</v>
      </c>
      <c r="H219">
        <v>1200</v>
      </c>
      <c r="I219">
        <v>2400</v>
      </c>
      <c r="J219" t="s">
        <v>19</v>
      </c>
    </row>
    <row r="220" spans="1:10" x14ac:dyDescent="0.3">
      <c r="A220">
        <v>1219</v>
      </c>
      <c r="B220" s="1">
        <v>46058</v>
      </c>
      <c r="C220" t="s">
        <v>254</v>
      </c>
      <c r="D220" t="s">
        <v>27</v>
      </c>
      <c r="E220" t="s">
        <v>58</v>
      </c>
      <c r="F220" t="s">
        <v>13</v>
      </c>
      <c r="G220">
        <v>3</v>
      </c>
      <c r="H220">
        <v>20000</v>
      </c>
      <c r="I220">
        <v>60000</v>
      </c>
      <c r="J220" t="s">
        <v>14</v>
      </c>
    </row>
    <row r="221" spans="1:10" x14ac:dyDescent="0.3">
      <c r="A221">
        <v>1220</v>
      </c>
      <c r="B221" s="1">
        <v>46063</v>
      </c>
      <c r="C221" t="s">
        <v>255</v>
      </c>
      <c r="D221" t="s">
        <v>16</v>
      </c>
      <c r="E221" t="s">
        <v>58</v>
      </c>
      <c r="F221" t="s">
        <v>13</v>
      </c>
      <c r="G221">
        <v>2</v>
      </c>
      <c r="H221">
        <v>20000</v>
      </c>
      <c r="I221">
        <v>40000</v>
      </c>
      <c r="J221" t="s">
        <v>25</v>
      </c>
    </row>
    <row r="222" spans="1:10" x14ac:dyDescent="0.3">
      <c r="A222">
        <v>1221</v>
      </c>
      <c r="B222" s="1">
        <v>46080</v>
      </c>
      <c r="C222" t="s">
        <v>256</v>
      </c>
      <c r="D222" t="s">
        <v>11</v>
      </c>
      <c r="E222" t="s">
        <v>24</v>
      </c>
      <c r="F222" t="s">
        <v>18</v>
      </c>
      <c r="G222">
        <v>3</v>
      </c>
      <c r="H222">
        <v>2000</v>
      </c>
      <c r="I222">
        <v>6000</v>
      </c>
      <c r="J222" t="s">
        <v>25</v>
      </c>
    </row>
    <row r="223" spans="1:10" x14ac:dyDescent="0.3">
      <c r="A223">
        <v>1222</v>
      </c>
      <c r="B223" s="1">
        <v>46081</v>
      </c>
      <c r="C223" t="s">
        <v>257</v>
      </c>
      <c r="D223" t="s">
        <v>21</v>
      </c>
      <c r="E223" t="s">
        <v>34</v>
      </c>
      <c r="F223" t="s">
        <v>18</v>
      </c>
      <c r="G223">
        <v>3</v>
      </c>
      <c r="H223">
        <v>1200</v>
      </c>
      <c r="I223">
        <v>3600</v>
      </c>
      <c r="J223" t="s">
        <v>14</v>
      </c>
    </row>
    <row r="224" spans="1:10" x14ac:dyDescent="0.3">
      <c r="A224">
        <v>1223</v>
      </c>
      <c r="B224" s="1">
        <v>46061</v>
      </c>
      <c r="C224" t="s">
        <v>258</v>
      </c>
      <c r="D224" t="s">
        <v>21</v>
      </c>
      <c r="E224" t="s">
        <v>17</v>
      </c>
      <c r="F224" t="s">
        <v>18</v>
      </c>
      <c r="G224">
        <v>2</v>
      </c>
      <c r="H224">
        <v>500</v>
      </c>
      <c r="I224">
        <v>1000</v>
      </c>
      <c r="J224" t="s">
        <v>25</v>
      </c>
    </row>
    <row r="225" spans="1:10" x14ac:dyDescent="0.3">
      <c r="A225">
        <v>1224</v>
      </c>
      <c r="B225" s="1">
        <v>46082</v>
      </c>
      <c r="C225" t="s">
        <v>259</v>
      </c>
      <c r="D225" t="s">
        <v>16</v>
      </c>
      <c r="E225" t="s">
        <v>28</v>
      </c>
      <c r="F225" t="s">
        <v>13</v>
      </c>
      <c r="G225">
        <v>1</v>
      </c>
      <c r="H225">
        <v>7000</v>
      </c>
      <c r="I225">
        <v>7000</v>
      </c>
      <c r="J225" t="s">
        <v>14</v>
      </c>
    </row>
    <row r="226" spans="1:10" x14ac:dyDescent="0.3">
      <c r="A226">
        <v>1225</v>
      </c>
      <c r="B226" s="1">
        <v>46062</v>
      </c>
      <c r="C226" t="s">
        <v>260</v>
      </c>
      <c r="D226" t="s">
        <v>16</v>
      </c>
      <c r="E226" t="s">
        <v>24</v>
      </c>
      <c r="F226" t="s">
        <v>18</v>
      </c>
      <c r="G226">
        <v>3</v>
      </c>
      <c r="H226">
        <v>2000</v>
      </c>
      <c r="I226">
        <v>6000</v>
      </c>
      <c r="J226" t="s">
        <v>25</v>
      </c>
    </row>
    <row r="227" spans="1:10" x14ac:dyDescent="0.3">
      <c r="A227">
        <v>1226</v>
      </c>
      <c r="B227" s="1">
        <v>46060</v>
      </c>
      <c r="C227" t="s">
        <v>261</v>
      </c>
      <c r="D227" t="s">
        <v>23</v>
      </c>
      <c r="E227" t="s">
        <v>37</v>
      </c>
      <c r="F227" t="s">
        <v>13</v>
      </c>
      <c r="G227">
        <v>3</v>
      </c>
      <c r="H227">
        <v>55000</v>
      </c>
      <c r="I227">
        <v>165000</v>
      </c>
      <c r="J227" t="s">
        <v>19</v>
      </c>
    </row>
    <row r="228" spans="1:10" x14ac:dyDescent="0.3">
      <c r="A228">
        <v>1227</v>
      </c>
      <c r="B228" s="1">
        <v>46051</v>
      </c>
      <c r="C228" t="s">
        <v>262</v>
      </c>
      <c r="D228" t="s">
        <v>21</v>
      </c>
      <c r="E228" t="s">
        <v>28</v>
      </c>
      <c r="F228" t="s">
        <v>13</v>
      </c>
      <c r="G228">
        <v>1</v>
      </c>
      <c r="H228">
        <v>7000</v>
      </c>
      <c r="I228">
        <v>7000</v>
      </c>
      <c r="J228" t="s">
        <v>25</v>
      </c>
    </row>
    <row r="229" spans="1:10" x14ac:dyDescent="0.3">
      <c r="A229">
        <v>1228</v>
      </c>
      <c r="B229" s="1">
        <v>46070</v>
      </c>
      <c r="C229" t="s">
        <v>263</v>
      </c>
      <c r="D229" t="s">
        <v>36</v>
      </c>
      <c r="E229" t="s">
        <v>55</v>
      </c>
      <c r="F229" t="s">
        <v>50</v>
      </c>
      <c r="G229">
        <v>1</v>
      </c>
      <c r="H229">
        <v>2000</v>
      </c>
      <c r="I229">
        <v>2000</v>
      </c>
      <c r="J229" t="s">
        <v>25</v>
      </c>
    </row>
    <row r="230" spans="1:10" x14ac:dyDescent="0.3">
      <c r="A230">
        <v>1229</v>
      </c>
      <c r="B230" s="1">
        <v>46047</v>
      </c>
      <c r="C230" t="s">
        <v>264</v>
      </c>
      <c r="D230" t="s">
        <v>21</v>
      </c>
      <c r="E230" t="s">
        <v>43</v>
      </c>
      <c r="F230" t="s">
        <v>13</v>
      </c>
      <c r="G230">
        <v>1</v>
      </c>
      <c r="H230">
        <v>1500</v>
      </c>
      <c r="I230">
        <v>1500</v>
      </c>
      <c r="J230" t="s">
        <v>14</v>
      </c>
    </row>
    <row r="231" spans="1:10" x14ac:dyDescent="0.3">
      <c r="A231">
        <v>1230</v>
      </c>
      <c r="B231" s="1">
        <v>46064</v>
      </c>
      <c r="C231" t="s">
        <v>265</v>
      </c>
      <c r="D231" t="s">
        <v>23</v>
      </c>
      <c r="E231" t="s">
        <v>28</v>
      </c>
      <c r="F231" t="s">
        <v>13</v>
      </c>
      <c r="G231">
        <v>3</v>
      </c>
      <c r="H231">
        <v>7000</v>
      </c>
      <c r="I231">
        <v>21000</v>
      </c>
      <c r="J231" t="s">
        <v>25</v>
      </c>
    </row>
    <row r="232" spans="1:10" x14ac:dyDescent="0.3">
      <c r="A232">
        <v>1231</v>
      </c>
      <c r="B232" s="1">
        <v>46073</v>
      </c>
      <c r="C232" t="s">
        <v>266</v>
      </c>
      <c r="D232" t="s">
        <v>39</v>
      </c>
      <c r="E232" t="s">
        <v>49</v>
      </c>
      <c r="F232" t="s">
        <v>50</v>
      </c>
      <c r="G232">
        <v>2</v>
      </c>
      <c r="H232">
        <v>3000</v>
      </c>
      <c r="I232">
        <v>6000</v>
      </c>
      <c r="J232" t="s">
        <v>14</v>
      </c>
    </row>
    <row r="233" spans="1:10" x14ac:dyDescent="0.3">
      <c r="A233">
        <v>1232</v>
      </c>
      <c r="B233" s="1">
        <v>46067</v>
      </c>
      <c r="C233" t="s">
        <v>267</v>
      </c>
      <c r="D233" t="s">
        <v>27</v>
      </c>
      <c r="E233" t="s">
        <v>28</v>
      </c>
      <c r="F233" t="s">
        <v>13</v>
      </c>
      <c r="G233">
        <v>3</v>
      </c>
      <c r="H233">
        <v>7000</v>
      </c>
      <c r="I233">
        <v>21000</v>
      </c>
      <c r="J233" t="s">
        <v>14</v>
      </c>
    </row>
    <row r="234" spans="1:10" x14ac:dyDescent="0.3">
      <c r="A234">
        <v>1233</v>
      </c>
      <c r="B234" s="1">
        <v>46075</v>
      </c>
      <c r="C234" t="s">
        <v>268</v>
      </c>
      <c r="D234" t="s">
        <v>54</v>
      </c>
      <c r="E234" t="s">
        <v>58</v>
      </c>
      <c r="F234" t="s">
        <v>13</v>
      </c>
      <c r="G234">
        <v>2</v>
      </c>
      <c r="H234">
        <v>20000</v>
      </c>
      <c r="I234">
        <v>40000</v>
      </c>
      <c r="J234" t="s">
        <v>25</v>
      </c>
    </row>
    <row r="235" spans="1:10" x14ac:dyDescent="0.3">
      <c r="A235">
        <v>1234</v>
      </c>
      <c r="B235" s="1">
        <v>46054</v>
      </c>
      <c r="C235" t="s">
        <v>269</v>
      </c>
      <c r="D235" t="s">
        <v>30</v>
      </c>
      <c r="E235" t="s">
        <v>49</v>
      </c>
      <c r="F235" t="s">
        <v>50</v>
      </c>
      <c r="G235">
        <v>1</v>
      </c>
      <c r="H235">
        <v>3000</v>
      </c>
      <c r="I235">
        <v>3000</v>
      </c>
      <c r="J235" t="s">
        <v>25</v>
      </c>
    </row>
    <row r="236" spans="1:10" x14ac:dyDescent="0.3">
      <c r="A236">
        <v>1235</v>
      </c>
      <c r="B236" s="1">
        <v>46054</v>
      </c>
      <c r="C236" t="s">
        <v>270</v>
      </c>
      <c r="D236" t="s">
        <v>27</v>
      </c>
      <c r="E236" t="s">
        <v>12</v>
      </c>
      <c r="F236" t="s">
        <v>13</v>
      </c>
      <c r="G236">
        <v>1</v>
      </c>
      <c r="H236">
        <v>15000</v>
      </c>
      <c r="I236">
        <v>15000</v>
      </c>
      <c r="J236" t="s">
        <v>25</v>
      </c>
    </row>
    <row r="237" spans="1:10" x14ac:dyDescent="0.3">
      <c r="A237">
        <v>1236</v>
      </c>
      <c r="B237" s="1">
        <v>46082</v>
      </c>
      <c r="C237" t="s">
        <v>271</v>
      </c>
      <c r="D237" t="s">
        <v>46</v>
      </c>
      <c r="E237" t="s">
        <v>28</v>
      </c>
      <c r="F237" t="s">
        <v>13</v>
      </c>
      <c r="G237">
        <v>2</v>
      </c>
      <c r="H237">
        <v>7000</v>
      </c>
      <c r="I237">
        <v>14000</v>
      </c>
      <c r="J237" t="s">
        <v>25</v>
      </c>
    </row>
    <row r="238" spans="1:10" x14ac:dyDescent="0.3">
      <c r="A238">
        <v>1237</v>
      </c>
      <c r="B238" s="1">
        <v>46075</v>
      </c>
      <c r="C238" t="s">
        <v>272</v>
      </c>
      <c r="D238" t="s">
        <v>36</v>
      </c>
      <c r="E238" t="s">
        <v>55</v>
      </c>
      <c r="F238" t="s">
        <v>50</v>
      </c>
      <c r="G238">
        <v>2</v>
      </c>
      <c r="H238">
        <v>2000</v>
      </c>
      <c r="I238">
        <v>4000</v>
      </c>
      <c r="J238" t="s">
        <v>25</v>
      </c>
    </row>
    <row r="239" spans="1:10" x14ac:dyDescent="0.3">
      <c r="A239">
        <v>1238</v>
      </c>
      <c r="B239" s="1">
        <v>46054</v>
      </c>
      <c r="C239" t="s">
        <v>273</v>
      </c>
      <c r="D239" t="s">
        <v>54</v>
      </c>
      <c r="E239" t="s">
        <v>34</v>
      </c>
      <c r="F239" t="s">
        <v>18</v>
      </c>
      <c r="G239">
        <v>1</v>
      </c>
      <c r="H239">
        <v>1200</v>
      </c>
      <c r="I239">
        <v>1200</v>
      </c>
      <c r="J239" t="s">
        <v>19</v>
      </c>
    </row>
    <row r="240" spans="1:10" x14ac:dyDescent="0.3">
      <c r="A240">
        <v>1239</v>
      </c>
      <c r="B240" s="1">
        <v>46083</v>
      </c>
      <c r="C240" t="s">
        <v>274</v>
      </c>
      <c r="D240" t="s">
        <v>11</v>
      </c>
      <c r="E240" t="s">
        <v>34</v>
      </c>
      <c r="F240" t="s">
        <v>18</v>
      </c>
      <c r="G240">
        <v>2</v>
      </c>
      <c r="H240">
        <v>1200</v>
      </c>
      <c r="I240">
        <v>2400</v>
      </c>
      <c r="J240" t="s">
        <v>25</v>
      </c>
    </row>
    <row r="241" spans="1:10" x14ac:dyDescent="0.3">
      <c r="A241">
        <v>1240</v>
      </c>
      <c r="B241" s="1">
        <v>46069</v>
      </c>
      <c r="C241" t="s">
        <v>275</v>
      </c>
      <c r="D241" t="s">
        <v>54</v>
      </c>
      <c r="E241" t="s">
        <v>37</v>
      </c>
      <c r="F241" t="s">
        <v>13</v>
      </c>
      <c r="G241">
        <v>3</v>
      </c>
      <c r="H241">
        <v>55000</v>
      </c>
      <c r="I241">
        <v>165000</v>
      </c>
      <c r="J241" t="s">
        <v>14</v>
      </c>
    </row>
    <row r="242" spans="1:10" x14ac:dyDescent="0.3">
      <c r="A242">
        <v>1241</v>
      </c>
      <c r="B242" s="1">
        <v>46037</v>
      </c>
      <c r="C242" t="s">
        <v>276</v>
      </c>
      <c r="D242" t="s">
        <v>54</v>
      </c>
      <c r="E242" t="s">
        <v>28</v>
      </c>
      <c r="F242" t="s">
        <v>13</v>
      </c>
      <c r="G242">
        <v>3</v>
      </c>
      <c r="H242">
        <v>7000</v>
      </c>
      <c r="I242">
        <v>21000</v>
      </c>
      <c r="J242" t="s">
        <v>25</v>
      </c>
    </row>
    <row r="243" spans="1:10" x14ac:dyDescent="0.3">
      <c r="A243">
        <v>1242</v>
      </c>
      <c r="B243" s="1">
        <v>46074</v>
      </c>
      <c r="C243" t="s">
        <v>277</v>
      </c>
      <c r="D243" t="s">
        <v>23</v>
      </c>
      <c r="E243" t="s">
        <v>12</v>
      </c>
      <c r="F243" t="s">
        <v>13</v>
      </c>
      <c r="G243">
        <v>2</v>
      </c>
      <c r="H243">
        <v>15000</v>
      </c>
      <c r="I243">
        <v>30000</v>
      </c>
      <c r="J243" t="s">
        <v>19</v>
      </c>
    </row>
    <row r="244" spans="1:10" x14ac:dyDescent="0.3">
      <c r="A244">
        <v>1243</v>
      </c>
      <c r="B244" s="1">
        <v>46036</v>
      </c>
      <c r="C244" t="s">
        <v>278</v>
      </c>
      <c r="D244" t="s">
        <v>21</v>
      </c>
      <c r="E244" t="s">
        <v>49</v>
      </c>
      <c r="F244" t="s">
        <v>50</v>
      </c>
      <c r="G244">
        <v>3</v>
      </c>
      <c r="H244">
        <v>3000</v>
      </c>
      <c r="I244">
        <v>9000</v>
      </c>
      <c r="J244" t="s">
        <v>14</v>
      </c>
    </row>
    <row r="245" spans="1:10" x14ac:dyDescent="0.3">
      <c r="A245">
        <v>1244</v>
      </c>
      <c r="B245" s="1">
        <v>46033</v>
      </c>
      <c r="C245" t="s">
        <v>279</v>
      </c>
      <c r="D245" t="s">
        <v>11</v>
      </c>
      <c r="E245" t="s">
        <v>34</v>
      </c>
      <c r="F245" t="s">
        <v>18</v>
      </c>
      <c r="G245">
        <v>2</v>
      </c>
      <c r="H245">
        <v>1200</v>
      </c>
      <c r="I245">
        <v>2400</v>
      </c>
      <c r="J245" t="s">
        <v>19</v>
      </c>
    </row>
    <row r="246" spans="1:10" x14ac:dyDescent="0.3">
      <c r="A246">
        <v>1245</v>
      </c>
      <c r="B246" s="1">
        <v>46041</v>
      </c>
      <c r="C246" t="s">
        <v>280</v>
      </c>
      <c r="D246" t="s">
        <v>46</v>
      </c>
      <c r="E246" t="s">
        <v>12</v>
      </c>
      <c r="F246" t="s">
        <v>13</v>
      </c>
      <c r="G246">
        <v>3</v>
      </c>
      <c r="H246">
        <v>15000</v>
      </c>
      <c r="I246">
        <v>45000</v>
      </c>
      <c r="J246" t="s">
        <v>19</v>
      </c>
    </row>
    <row r="247" spans="1:10" x14ac:dyDescent="0.3">
      <c r="A247">
        <v>1246</v>
      </c>
      <c r="B247" s="1">
        <v>46035</v>
      </c>
      <c r="C247" t="s">
        <v>281</v>
      </c>
      <c r="D247" t="s">
        <v>21</v>
      </c>
      <c r="E247" t="s">
        <v>12</v>
      </c>
      <c r="F247" t="s">
        <v>13</v>
      </c>
      <c r="G247">
        <v>1</v>
      </c>
      <c r="H247">
        <v>15000</v>
      </c>
      <c r="I247">
        <v>15000</v>
      </c>
      <c r="J247" t="s">
        <v>25</v>
      </c>
    </row>
    <row r="248" spans="1:10" x14ac:dyDescent="0.3">
      <c r="A248">
        <v>1247</v>
      </c>
      <c r="B248" s="1">
        <v>46049</v>
      </c>
      <c r="C248" t="s">
        <v>282</v>
      </c>
      <c r="D248" t="s">
        <v>54</v>
      </c>
      <c r="E248" t="s">
        <v>55</v>
      </c>
      <c r="F248" t="s">
        <v>50</v>
      </c>
      <c r="G248">
        <v>1</v>
      </c>
      <c r="H248">
        <v>2000</v>
      </c>
      <c r="I248">
        <v>2000</v>
      </c>
      <c r="J248" t="s">
        <v>19</v>
      </c>
    </row>
    <row r="249" spans="1:10" x14ac:dyDescent="0.3">
      <c r="A249">
        <v>1248</v>
      </c>
      <c r="B249" s="1">
        <v>46037</v>
      </c>
      <c r="C249" t="s">
        <v>283</v>
      </c>
      <c r="D249" t="s">
        <v>54</v>
      </c>
      <c r="E249" t="s">
        <v>37</v>
      </c>
      <c r="F249" t="s">
        <v>13</v>
      </c>
      <c r="G249">
        <v>2</v>
      </c>
      <c r="H249">
        <v>55000</v>
      </c>
      <c r="I249">
        <v>110000</v>
      </c>
      <c r="J249" t="s">
        <v>19</v>
      </c>
    </row>
    <row r="250" spans="1:10" x14ac:dyDescent="0.3">
      <c r="A250">
        <v>1249</v>
      </c>
      <c r="B250" s="1">
        <v>46032</v>
      </c>
      <c r="C250" t="s">
        <v>284</v>
      </c>
      <c r="D250" t="s">
        <v>11</v>
      </c>
      <c r="E250" t="s">
        <v>34</v>
      </c>
      <c r="F250" t="s">
        <v>18</v>
      </c>
      <c r="G250">
        <v>1</v>
      </c>
      <c r="H250">
        <v>1200</v>
      </c>
      <c r="I250">
        <v>1200</v>
      </c>
      <c r="J250" t="s">
        <v>14</v>
      </c>
    </row>
    <row r="251" spans="1:10" x14ac:dyDescent="0.3">
      <c r="A251">
        <v>1250</v>
      </c>
      <c r="B251" s="1">
        <v>46074</v>
      </c>
      <c r="C251" t="s">
        <v>285</v>
      </c>
      <c r="D251" t="s">
        <v>54</v>
      </c>
      <c r="E251" t="s">
        <v>28</v>
      </c>
      <c r="F251" t="s">
        <v>13</v>
      </c>
      <c r="G251">
        <v>2</v>
      </c>
      <c r="H251">
        <v>7000</v>
      </c>
      <c r="I251">
        <v>14000</v>
      </c>
      <c r="J251" t="s">
        <v>14</v>
      </c>
    </row>
    <row r="252" spans="1:10" x14ac:dyDescent="0.3">
      <c r="A252">
        <v>1251</v>
      </c>
      <c r="B252" s="1">
        <v>46083</v>
      </c>
      <c r="C252" t="s">
        <v>286</v>
      </c>
      <c r="D252" t="s">
        <v>30</v>
      </c>
      <c r="E252" t="s">
        <v>28</v>
      </c>
      <c r="F252" t="s">
        <v>13</v>
      </c>
      <c r="G252">
        <v>1</v>
      </c>
      <c r="H252">
        <v>7000</v>
      </c>
      <c r="I252">
        <v>7000</v>
      </c>
      <c r="J252" t="s">
        <v>19</v>
      </c>
    </row>
    <row r="253" spans="1:10" x14ac:dyDescent="0.3">
      <c r="A253">
        <v>1252</v>
      </c>
      <c r="B253" s="1">
        <v>46073</v>
      </c>
      <c r="C253" t="s">
        <v>287</v>
      </c>
      <c r="D253" t="s">
        <v>27</v>
      </c>
      <c r="E253" t="s">
        <v>12</v>
      </c>
      <c r="F253" t="s">
        <v>13</v>
      </c>
      <c r="G253">
        <v>2</v>
      </c>
      <c r="H253">
        <v>15000</v>
      </c>
      <c r="I253">
        <v>30000</v>
      </c>
      <c r="J253" t="s">
        <v>19</v>
      </c>
    </row>
    <row r="254" spans="1:10" x14ac:dyDescent="0.3">
      <c r="A254">
        <v>1253</v>
      </c>
      <c r="B254" s="1">
        <v>46062</v>
      </c>
      <c r="C254" t="s">
        <v>288</v>
      </c>
      <c r="D254" t="s">
        <v>39</v>
      </c>
      <c r="E254" t="s">
        <v>24</v>
      </c>
      <c r="F254" t="s">
        <v>18</v>
      </c>
      <c r="G254">
        <v>2</v>
      </c>
      <c r="H254">
        <v>2000</v>
      </c>
      <c r="I254">
        <v>4000</v>
      </c>
      <c r="J254" t="s">
        <v>25</v>
      </c>
    </row>
    <row r="255" spans="1:10" x14ac:dyDescent="0.3">
      <c r="A255">
        <v>1254</v>
      </c>
      <c r="B255" s="1">
        <v>46043</v>
      </c>
      <c r="C255" t="s">
        <v>289</v>
      </c>
      <c r="D255" t="s">
        <v>39</v>
      </c>
      <c r="E255" t="s">
        <v>28</v>
      </c>
      <c r="F255" t="s">
        <v>13</v>
      </c>
      <c r="G255">
        <v>3</v>
      </c>
      <c r="H255">
        <v>7000</v>
      </c>
      <c r="I255">
        <v>21000</v>
      </c>
      <c r="J255" t="s">
        <v>14</v>
      </c>
    </row>
    <row r="256" spans="1:10" x14ac:dyDescent="0.3">
      <c r="A256">
        <v>1255</v>
      </c>
      <c r="B256" s="1">
        <v>46046</v>
      </c>
      <c r="C256" t="s">
        <v>290</v>
      </c>
      <c r="D256" t="s">
        <v>27</v>
      </c>
      <c r="E256" t="s">
        <v>43</v>
      </c>
      <c r="F256" t="s">
        <v>13</v>
      </c>
      <c r="G256">
        <v>1</v>
      </c>
      <c r="H256">
        <v>1500</v>
      </c>
      <c r="I256">
        <v>1500</v>
      </c>
      <c r="J256" t="s">
        <v>25</v>
      </c>
    </row>
    <row r="257" spans="1:10" x14ac:dyDescent="0.3">
      <c r="A257">
        <v>1256</v>
      </c>
      <c r="B257" s="1">
        <v>46024</v>
      </c>
      <c r="C257" t="s">
        <v>291</v>
      </c>
      <c r="D257" t="s">
        <v>27</v>
      </c>
      <c r="E257" t="s">
        <v>24</v>
      </c>
      <c r="F257" t="s">
        <v>18</v>
      </c>
      <c r="G257">
        <v>2</v>
      </c>
      <c r="H257">
        <v>2000</v>
      </c>
      <c r="I257">
        <v>4000</v>
      </c>
      <c r="J257" t="s">
        <v>25</v>
      </c>
    </row>
    <row r="258" spans="1:10" x14ac:dyDescent="0.3">
      <c r="A258">
        <v>1257</v>
      </c>
      <c r="B258" s="1">
        <v>46024</v>
      </c>
      <c r="C258" t="s">
        <v>292</v>
      </c>
      <c r="D258" t="s">
        <v>39</v>
      </c>
      <c r="E258" t="s">
        <v>49</v>
      </c>
      <c r="F258" t="s">
        <v>50</v>
      </c>
      <c r="G258">
        <v>3</v>
      </c>
      <c r="H258">
        <v>3000</v>
      </c>
      <c r="I258">
        <v>9000</v>
      </c>
      <c r="J258" t="s">
        <v>14</v>
      </c>
    </row>
    <row r="259" spans="1:10" x14ac:dyDescent="0.3">
      <c r="A259">
        <v>1258</v>
      </c>
      <c r="B259" s="1">
        <v>46070</v>
      </c>
      <c r="C259" t="s">
        <v>293</v>
      </c>
      <c r="D259" t="s">
        <v>39</v>
      </c>
      <c r="E259" t="s">
        <v>28</v>
      </c>
      <c r="F259" t="s">
        <v>13</v>
      </c>
      <c r="G259">
        <v>2</v>
      </c>
      <c r="H259">
        <v>7000</v>
      </c>
      <c r="I259">
        <v>14000</v>
      </c>
      <c r="J259" t="s">
        <v>14</v>
      </c>
    </row>
    <row r="260" spans="1:10" x14ac:dyDescent="0.3">
      <c r="A260">
        <v>1259</v>
      </c>
      <c r="B260" s="1">
        <v>46083</v>
      </c>
      <c r="C260" t="s">
        <v>294</v>
      </c>
      <c r="D260" t="s">
        <v>11</v>
      </c>
      <c r="E260" t="s">
        <v>28</v>
      </c>
      <c r="F260" t="s">
        <v>13</v>
      </c>
      <c r="G260">
        <v>1</v>
      </c>
      <c r="H260">
        <v>7000</v>
      </c>
      <c r="I260">
        <v>7000</v>
      </c>
      <c r="J260" t="s">
        <v>14</v>
      </c>
    </row>
    <row r="261" spans="1:10" x14ac:dyDescent="0.3">
      <c r="A261">
        <v>1260</v>
      </c>
      <c r="B261" s="1">
        <v>46027</v>
      </c>
      <c r="C261" t="s">
        <v>295</v>
      </c>
      <c r="D261" t="s">
        <v>21</v>
      </c>
      <c r="E261" t="s">
        <v>24</v>
      </c>
      <c r="F261" t="s">
        <v>18</v>
      </c>
      <c r="G261">
        <v>3</v>
      </c>
      <c r="H261">
        <v>2000</v>
      </c>
      <c r="I261">
        <v>6000</v>
      </c>
      <c r="J261" t="s">
        <v>14</v>
      </c>
    </row>
    <row r="262" spans="1:10" x14ac:dyDescent="0.3">
      <c r="A262">
        <v>1261</v>
      </c>
      <c r="B262" s="1">
        <v>46059</v>
      </c>
      <c r="C262" t="s">
        <v>296</v>
      </c>
      <c r="D262" t="s">
        <v>39</v>
      </c>
      <c r="E262" t="s">
        <v>58</v>
      </c>
      <c r="F262" t="s">
        <v>13</v>
      </c>
      <c r="G262">
        <v>3</v>
      </c>
      <c r="H262">
        <v>20000</v>
      </c>
      <c r="I262">
        <v>60000</v>
      </c>
      <c r="J262" t="s">
        <v>25</v>
      </c>
    </row>
    <row r="263" spans="1:10" x14ac:dyDescent="0.3">
      <c r="A263">
        <v>1262</v>
      </c>
      <c r="B263" s="1">
        <v>46035</v>
      </c>
      <c r="C263" t="s">
        <v>297</v>
      </c>
      <c r="D263" t="s">
        <v>27</v>
      </c>
      <c r="E263" t="s">
        <v>58</v>
      </c>
      <c r="F263" t="s">
        <v>13</v>
      </c>
      <c r="G263">
        <v>3</v>
      </c>
      <c r="H263">
        <v>20000</v>
      </c>
      <c r="I263">
        <v>60000</v>
      </c>
      <c r="J263" t="s">
        <v>14</v>
      </c>
    </row>
    <row r="264" spans="1:10" x14ac:dyDescent="0.3">
      <c r="A264">
        <v>1263</v>
      </c>
      <c r="B264" s="1">
        <v>46037</v>
      </c>
      <c r="C264" t="s">
        <v>298</v>
      </c>
      <c r="D264" t="s">
        <v>21</v>
      </c>
      <c r="E264" t="s">
        <v>43</v>
      </c>
      <c r="F264" t="s">
        <v>13</v>
      </c>
      <c r="G264">
        <v>1</v>
      </c>
      <c r="H264">
        <v>1500</v>
      </c>
      <c r="I264">
        <v>1500</v>
      </c>
      <c r="J264" t="s">
        <v>25</v>
      </c>
    </row>
    <row r="265" spans="1:10" x14ac:dyDescent="0.3">
      <c r="A265">
        <v>1264</v>
      </c>
      <c r="B265" s="1">
        <v>46023</v>
      </c>
      <c r="C265" t="s">
        <v>299</v>
      </c>
      <c r="D265" t="s">
        <v>23</v>
      </c>
      <c r="E265" t="s">
        <v>28</v>
      </c>
      <c r="F265" t="s">
        <v>13</v>
      </c>
      <c r="G265">
        <v>2</v>
      </c>
      <c r="H265">
        <v>7000</v>
      </c>
      <c r="I265">
        <v>14000</v>
      </c>
      <c r="J265" t="s">
        <v>25</v>
      </c>
    </row>
    <row r="266" spans="1:10" x14ac:dyDescent="0.3">
      <c r="A266">
        <v>1265</v>
      </c>
      <c r="B266" s="1">
        <v>46040</v>
      </c>
      <c r="C266" t="s">
        <v>300</v>
      </c>
      <c r="D266" t="s">
        <v>46</v>
      </c>
      <c r="E266" t="s">
        <v>55</v>
      </c>
      <c r="F266" t="s">
        <v>50</v>
      </c>
      <c r="G266">
        <v>3</v>
      </c>
      <c r="H266">
        <v>2000</v>
      </c>
      <c r="I266">
        <v>6000</v>
      </c>
      <c r="J266" t="s">
        <v>19</v>
      </c>
    </row>
    <row r="267" spans="1:10" x14ac:dyDescent="0.3">
      <c r="A267">
        <v>1266</v>
      </c>
      <c r="B267" s="1">
        <v>46042</v>
      </c>
      <c r="C267" t="s">
        <v>301</v>
      </c>
      <c r="D267" t="s">
        <v>46</v>
      </c>
      <c r="E267" t="s">
        <v>28</v>
      </c>
      <c r="F267" t="s">
        <v>13</v>
      </c>
      <c r="G267">
        <v>3</v>
      </c>
      <c r="H267">
        <v>7000</v>
      </c>
      <c r="I267">
        <v>21000</v>
      </c>
      <c r="J267" t="s">
        <v>19</v>
      </c>
    </row>
    <row r="268" spans="1:10" x14ac:dyDescent="0.3">
      <c r="A268">
        <v>1267</v>
      </c>
      <c r="B268" s="1">
        <v>46024</v>
      </c>
      <c r="C268" t="s">
        <v>302</v>
      </c>
      <c r="D268" t="s">
        <v>46</v>
      </c>
      <c r="E268" t="s">
        <v>17</v>
      </c>
      <c r="F268" t="s">
        <v>18</v>
      </c>
      <c r="G268">
        <v>3</v>
      </c>
      <c r="H268">
        <v>500</v>
      </c>
      <c r="I268">
        <v>1500</v>
      </c>
      <c r="J268" t="s">
        <v>14</v>
      </c>
    </row>
    <row r="269" spans="1:10" x14ac:dyDescent="0.3">
      <c r="A269">
        <v>1268</v>
      </c>
      <c r="B269" s="1">
        <v>46025</v>
      </c>
      <c r="C269" t="s">
        <v>303</v>
      </c>
      <c r="D269" t="s">
        <v>30</v>
      </c>
      <c r="E269" t="s">
        <v>49</v>
      </c>
      <c r="F269" t="s">
        <v>50</v>
      </c>
      <c r="G269">
        <v>1</v>
      </c>
      <c r="H269">
        <v>3000</v>
      </c>
      <c r="I269">
        <v>3000</v>
      </c>
      <c r="J269" t="s">
        <v>19</v>
      </c>
    </row>
    <row r="270" spans="1:10" x14ac:dyDescent="0.3">
      <c r="A270">
        <v>1269</v>
      </c>
      <c r="B270" s="1">
        <v>46046</v>
      </c>
      <c r="C270" t="s">
        <v>304</v>
      </c>
      <c r="D270" t="s">
        <v>21</v>
      </c>
      <c r="E270" t="s">
        <v>34</v>
      </c>
      <c r="F270" t="s">
        <v>18</v>
      </c>
      <c r="G270">
        <v>3</v>
      </c>
      <c r="H270">
        <v>1200</v>
      </c>
      <c r="I270">
        <v>3600</v>
      </c>
      <c r="J270" t="s">
        <v>25</v>
      </c>
    </row>
    <row r="271" spans="1:10" x14ac:dyDescent="0.3">
      <c r="A271">
        <v>1270</v>
      </c>
      <c r="B271" s="1">
        <v>46045</v>
      </c>
      <c r="C271" t="s">
        <v>305</v>
      </c>
      <c r="D271" t="s">
        <v>16</v>
      </c>
      <c r="E271" t="s">
        <v>24</v>
      </c>
      <c r="F271" t="s">
        <v>18</v>
      </c>
      <c r="G271">
        <v>1</v>
      </c>
      <c r="H271">
        <v>2000</v>
      </c>
      <c r="I271">
        <v>2000</v>
      </c>
      <c r="J271" t="s">
        <v>14</v>
      </c>
    </row>
    <row r="272" spans="1:10" x14ac:dyDescent="0.3">
      <c r="A272">
        <v>1271</v>
      </c>
      <c r="B272" s="1">
        <v>46058</v>
      </c>
      <c r="C272" t="s">
        <v>306</v>
      </c>
      <c r="D272" t="s">
        <v>21</v>
      </c>
      <c r="E272" t="s">
        <v>24</v>
      </c>
      <c r="F272" t="s">
        <v>18</v>
      </c>
      <c r="G272">
        <v>2</v>
      </c>
      <c r="H272">
        <v>2000</v>
      </c>
      <c r="I272">
        <v>4000</v>
      </c>
      <c r="J272" t="s">
        <v>14</v>
      </c>
    </row>
    <row r="273" spans="1:10" x14ac:dyDescent="0.3">
      <c r="A273">
        <v>1272</v>
      </c>
      <c r="B273" s="1">
        <v>46076</v>
      </c>
      <c r="C273" t="s">
        <v>307</v>
      </c>
      <c r="D273" t="s">
        <v>27</v>
      </c>
      <c r="E273" t="s">
        <v>17</v>
      </c>
      <c r="F273" t="s">
        <v>18</v>
      </c>
      <c r="G273">
        <v>2</v>
      </c>
      <c r="H273">
        <v>500</v>
      </c>
      <c r="I273">
        <v>1000</v>
      </c>
      <c r="J273" t="s">
        <v>19</v>
      </c>
    </row>
    <row r="274" spans="1:10" x14ac:dyDescent="0.3">
      <c r="A274">
        <v>1273</v>
      </c>
      <c r="B274" s="1">
        <v>46055</v>
      </c>
      <c r="C274" t="s">
        <v>308</v>
      </c>
      <c r="D274" t="s">
        <v>27</v>
      </c>
      <c r="E274" t="s">
        <v>58</v>
      </c>
      <c r="F274" t="s">
        <v>13</v>
      </c>
      <c r="G274">
        <v>1</v>
      </c>
      <c r="H274">
        <v>20000</v>
      </c>
      <c r="I274">
        <v>20000</v>
      </c>
      <c r="J274" t="s">
        <v>14</v>
      </c>
    </row>
    <row r="275" spans="1:10" x14ac:dyDescent="0.3">
      <c r="A275">
        <v>1274</v>
      </c>
      <c r="B275" s="1">
        <v>46067</v>
      </c>
      <c r="C275" t="s">
        <v>309</v>
      </c>
      <c r="D275" t="s">
        <v>46</v>
      </c>
      <c r="E275" t="s">
        <v>43</v>
      </c>
      <c r="F275" t="s">
        <v>13</v>
      </c>
      <c r="G275">
        <v>1</v>
      </c>
      <c r="H275">
        <v>1500</v>
      </c>
      <c r="I275">
        <v>1500</v>
      </c>
      <c r="J275" t="s">
        <v>25</v>
      </c>
    </row>
    <row r="276" spans="1:10" x14ac:dyDescent="0.3">
      <c r="A276">
        <v>1275</v>
      </c>
      <c r="B276" s="1">
        <v>46044</v>
      </c>
      <c r="C276" t="s">
        <v>310</v>
      </c>
      <c r="D276" t="s">
        <v>36</v>
      </c>
      <c r="E276" t="s">
        <v>28</v>
      </c>
      <c r="F276" t="s">
        <v>13</v>
      </c>
      <c r="G276">
        <v>2</v>
      </c>
      <c r="H276">
        <v>7000</v>
      </c>
      <c r="I276">
        <v>14000</v>
      </c>
      <c r="J276" t="s">
        <v>19</v>
      </c>
    </row>
    <row r="277" spans="1:10" x14ac:dyDescent="0.3">
      <c r="A277">
        <v>1276</v>
      </c>
      <c r="B277" s="1">
        <v>46081</v>
      </c>
      <c r="C277" t="s">
        <v>311</v>
      </c>
      <c r="D277" t="s">
        <v>54</v>
      </c>
      <c r="E277" t="s">
        <v>55</v>
      </c>
      <c r="F277" t="s">
        <v>50</v>
      </c>
      <c r="G277">
        <v>3</v>
      </c>
      <c r="H277">
        <v>2000</v>
      </c>
      <c r="I277">
        <v>6000</v>
      </c>
      <c r="J277" t="s">
        <v>14</v>
      </c>
    </row>
    <row r="278" spans="1:10" x14ac:dyDescent="0.3">
      <c r="A278">
        <v>1277</v>
      </c>
      <c r="B278" s="1">
        <v>46075</v>
      </c>
      <c r="C278" t="s">
        <v>312</v>
      </c>
      <c r="D278" t="s">
        <v>23</v>
      </c>
      <c r="E278" t="s">
        <v>28</v>
      </c>
      <c r="F278" t="s">
        <v>13</v>
      </c>
      <c r="G278">
        <v>3</v>
      </c>
      <c r="H278">
        <v>7000</v>
      </c>
      <c r="I278">
        <v>21000</v>
      </c>
      <c r="J278" t="s">
        <v>19</v>
      </c>
    </row>
    <row r="279" spans="1:10" x14ac:dyDescent="0.3">
      <c r="A279">
        <v>1278</v>
      </c>
      <c r="B279" s="1">
        <v>46082</v>
      </c>
      <c r="C279" t="s">
        <v>313</v>
      </c>
      <c r="D279" t="s">
        <v>46</v>
      </c>
      <c r="E279" t="s">
        <v>55</v>
      </c>
      <c r="F279" t="s">
        <v>50</v>
      </c>
      <c r="G279">
        <v>1</v>
      </c>
      <c r="H279">
        <v>2000</v>
      </c>
      <c r="I279">
        <v>2000</v>
      </c>
      <c r="J279" t="s">
        <v>14</v>
      </c>
    </row>
    <row r="280" spans="1:10" x14ac:dyDescent="0.3">
      <c r="A280">
        <v>1279</v>
      </c>
      <c r="B280" s="1">
        <v>46060</v>
      </c>
      <c r="C280" t="s">
        <v>314</v>
      </c>
      <c r="D280" t="s">
        <v>46</v>
      </c>
      <c r="E280" t="s">
        <v>58</v>
      </c>
      <c r="F280" t="s">
        <v>13</v>
      </c>
      <c r="G280">
        <v>3</v>
      </c>
      <c r="H280">
        <v>20000</v>
      </c>
      <c r="I280">
        <v>60000</v>
      </c>
      <c r="J280" t="s">
        <v>19</v>
      </c>
    </row>
    <row r="281" spans="1:10" x14ac:dyDescent="0.3">
      <c r="A281">
        <v>1280</v>
      </c>
      <c r="B281" s="1">
        <v>46072</v>
      </c>
      <c r="C281" t="s">
        <v>315</v>
      </c>
      <c r="D281" t="s">
        <v>54</v>
      </c>
      <c r="E281" t="s">
        <v>49</v>
      </c>
      <c r="F281" t="s">
        <v>50</v>
      </c>
      <c r="G281">
        <v>2</v>
      </c>
      <c r="H281">
        <v>3000</v>
      </c>
      <c r="I281">
        <v>6000</v>
      </c>
      <c r="J281" t="s">
        <v>14</v>
      </c>
    </row>
    <row r="282" spans="1:10" x14ac:dyDescent="0.3">
      <c r="A282">
        <v>1281</v>
      </c>
      <c r="B282" s="1">
        <v>46079</v>
      </c>
      <c r="C282" t="s">
        <v>316</v>
      </c>
      <c r="D282" t="s">
        <v>16</v>
      </c>
      <c r="E282" t="s">
        <v>43</v>
      </c>
      <c r="F282" t="s">
        <v>13</v>
      </c>
      <c r="G282">
        <v>1</v>
      </c>
      <c r="H282">
        <v>1500</v>
      </c>
      <c r="I282">
        <v>1500</v>
      </c>
      <c r="J282" t="s">
        <v>14</v>
      </c>
    </row>
    <row r="283" spans="1:10" x14ac:dyDescent="0.3">
      <c r="A283">
        <v>1282</v>
      </c>
      <c r="B283" s="1">
        <v>46040</v>
      </c>
      <c r="C283" t="s">
        <v>317</v>
      </c>
      <c r="D283" t="s">
        <v>23</v>
      </c>
      <c r="E283" t="s">
        <v>24</v>
      </c>
      <c r="F283" t="s">
        <v>18</v>
      </c>
      <c r="G283">
        <v>3</v>
      </c>
      <c r="H283">
        <v>2000</v>
      </c>
      <c r="I283">
        <v>6000</v>
      </c>
      <c r="J283" t="s">
        <v>19</v>
      </c>
    </row>
    <row r="284" spans="1:10" x14ac:dyDescent="0.3">
      <c r="A284">
        <v>1283</v>
      </c>
      <c r="B284" s="1">
        <v>46048</v>
      </c>
      <c r="C284" t="s">
        <v>318</v>
      </c>
      <c r="D284" t="s">
        <v>54</v>
      </c>
      <c r="E284" t="s">
        <v>58</v>
      </c>
      <c r="F284" t="s">
        <v>13</v>
      </c>
      <c r="G284">
        <v>3</v>
      </c>
      <c r="H284">
        <v>20000</v>
      </c>
      <c r="I284">
        <v>60000</v>
      </c>
      <c r="J284" t="s">
        <v>25</v>
      </c>
    </row>
    <row r="285" spans="1:10" x14ac:dyDescent="0.3">
      <c r="A285">
        <v>1284</v>
      </c>
      <c r="B285" s="1">
        <v>46051</v>
      </c>
      <c r="C285" t="s">
        <v>319</v>
      </c>
      <c r="D285" t="s">
        <v>39</v>
      </c>
      <c r="E285" t="s">
        <v>37</v>
      </c>
      <c r="F285" t="s">
        <v>13</v>
      </c>
      <c r="G285">
        <v>3</v>
      </c>
      <c r="H285">
        <v>55000</v>
      </c>
      <c r="I285">
        <v>165000</v>
      </c>
      <c r="J285" t="s">
        <v>25</v>
      </c>
    </row>
    <row r="286" spans="1:10" x14ac:dyDescent="0.3">
      <c r="A286">
        <v>1285</v>
      </c>
      <c r="B286" s="1">
        <v>46028</v>
      </c>
      <c r="C286" t="s">
        <v>320</v>
      </c>
      <c r="D286" t="s">
        <v>54</v>
      </c>
      <c r="E286" t="s">
        <v>55</v>
      </c>
      <c r="F286" t="s">
        <v>50</v>
      </c>
      <c r="G286">
        <v>3</v>
      </c>
      <c r="H286">
        <v>2000</v>
      </c>
      <c r="I286">
        <v>6000</v>
      </c>
      <c r="J286" t="s">
        <v>25</v>
      </c>
    </row>
    <row r="287" spans="1:10" x14ac:dyDescent="0.3">
      <c r="A287">
        <v>1286</v>
      </c>
      <c r="B287" s="1">
        <v>46025</v>
      </c>
      <c r="C287" t="s">
        <v>321</v>
      </c>
      <c r="D287" t="s">
        <v>46</v>
      </c>
      <c r="E287" t="s">
        <v>17</v>
      </c>
      <c r="F287" t="s">
        <v>18</v>
      </c>
      <c r="G287">
        <v>1</v>
      </c>
      <c r="H287">
        <v>500</v>
      </c>
      <c r="I287">
        <v>500</v>
      </c>
      <c r="J287" t="s">
        <v>25</v>
      </c>
    </row>
    <row r="288" spans="1:10" x14ac:dyDescent="0.3">
      <c r="A288">
        <v>1287</v>
      </c>
      <c r="B288" s="1">
        <v>46047</v>
      </c>
      <c r="C288" t="s">
        <v>322</v>
      </c>
      <c r="D288" t="s">
        <v>21</v>
      </c>
      <c r="E288" t="s">
        <v>49</v>
      </c>
      <c r="F288" t="s">
        <v>50</v>
      </c>
      <c r="G288">
        <v>3</v>
      </c>
      <c r="H288">
        <v>3000</v>
      </c>
      <c r="I288">
        <v>9000</v>
      </c>
      <c r="J288" t="s">
        <v>19</v>
      </c>
    </row>
    <row r="289" spans="1:10" x14ac:dyDescent="0.3">
      <c r="A289">
        <v>1288</v>
      </c>
      <c r="B289" s="1">
        <v>46067</v>
      </c>
      <c r="C289" t="s">
        <v>323</v>
      </c>
      <c r="D289" t="s">
        <v>36</v>
      </c>
      <c r="E289" t="s">
        <v>28</v>
      </c>
      <c r="F289" t="s">
        <v>13</v>
      </c>
      <c r="G289">
        <v>1</v>
      </c>
      <c r="H289">
        <v>7000</v>
      </c>
      <c r="I289">
        <v>7000</v>
      </c>
      <c r="J289" t="s">
        <v>25</v>
      </c>
    </row>
    <row r="290" spans="1:10" x14ac:dyDescent="0.3">
      <c r="A290">
        <v>1289</v>
      </c>
      <c r="B290" s="1">
        <v>46058</v>
      </c>
      <c r="C290" t="s">
        <v>324</v>
      </c>
      <c r="D290" t="s">
        <v>30</v>
      </c>
      <c r="E290" t="s">
        <v>43</v>
      </c>
      <c r="F290" t="s">
        <v>13</v>
      </c>
      <c r="G290">
        <v>2</v>
      </c>
      <c r="H290">
        <v>1500</v>
      </c>
      <c r="I290">
        <v>3000</v>
      </c>
      <c r="J290" t="s">
        <v>14</v>
      </c>
    </row>
    <row r="291" spans="1:10" x14ac:dyDescent="0.3">
      <c r="A291">
        <v>1290</v>
      </c>
      <c r="B291" s="1">
        <v>46077</v>
      </c>
      <c r="C291" t="s">
        <v>325</v>
      </c>
      <c r="D291" t="s">
        <v>39</v>
      </c>
      <c r="E291" t="s">
        <v>28</v>
      </c>
      <c r="F291" t="s">
        <v>13</v>
      </c>
      <c r="G291">
        <v>1</v>
      </c>
      <c r="H291">
        <v>7000</v>
      </c>
      <c r="I291">
        <v>7000</v>
      </c>
      <c r="J291" t="s">
        <v>19</v>
      </c>
    </row>
    <row r="292" spans="1:10" x14ac:dyDescent="0.3">
      <c r="A292">
        <v>1291</v>
      </c>
      <c r="B292" s="1">
        <v>46049</v>
      </c>
      <c r="C292" t="s">
        <v>326</v>
      </c>
      <c r="D292" t="s">
        <v>27</v>
      </c>
      <c r="E292" t="s">
        <v>12</v>
      </c>
      <c r="F292" t="s">
        <v>13</v>
      </c>
      <c r="G292">
        <v>1</v>
      </c>
      <c r="H292">
        <v>15000</v>
      </c>
      <c r="I292">
        <v>15000</v>
      </c>
      <c r="J292" t="s">
        <v>14</v>
      </c>
    </row>
    <row r="293" spans="1:10" x14ac:dyDescent="0.3">
      <c r="A293">
        <v>1292</v>
      </c>
      <c r="B293" s="1">
        <v>46076</v>
      </c>
      <c r="C293" t="s">
        <v>327</v>
      </c>
      <c r="D293" t="s">
        <v>39</v>
      </c>
      <c r="E293" t="s">
        <v>43</v>
      </c>
      <c r="F293" t="s">
        <v>13</v>
      </c>
      <c r="G293">
        <v>2</v>
      </c>
      <c r="H293">
        <v>1500</v>
      </c>
      <c r="I293">
        <v>3000</v>
      </c>
      <c r="J293" t="s">
        <v>14</v>
      </c>
    </row>
    <row r="294" spans="1:10" x14ac:dyDescent="0.3">
      <c r="A294">
        <v>1293</v>
      </c>
      <c r="B294" s="1">
        <v>46050</v>
      </c>
      <c r="C294" t="s">
        <v>328</v>
      </c>
      <c r="D294" t="s">
        <v>39</v>
      </c>
      <c r="E294" t="s">
        <v>17</v>
      </c>
      <c r="F294" t="s">
        <v>18</v>
      </c>
      <c r="G294">
        <v>2</v>
      </c>
      <c r="H294">
        <v>500</v>
      </c>
      <c r="I294">
        <v>1000</v>
      </c>
      <c r="J294" t="s">
        <v>14</v>
      </c>
    </row>
    <row r="295" spans="1:10" x14ac:dyDescent="0.3">
      <c r="A295">
        <v>1294</v>
      </c>
      <c r="B295" s="1">
        <v>46036</v>
      </c>
      <c r="C295" t="s">
        <v>329</v>
      </c>
      <c r="D295" t="s">
        <v>36</v>
      </c>
      <c r="E295" t="s">
        <v>49</v>
      </c>
      <c r="F295" t="s">
        <v>50</v>
      </c>
      <c r="G295">
        <v>1</v>
      </c>
      <c r="H295">
        <v>3000</v>
      </c>
      <c r="I295">
        <v>3000</v>
      </c>
      <c r="J295" t="s">
        <v>19</v>
      </c>
    </row>
    <row r="296" spans="1:10" x14ac:dyDescent="0.3">
      <c r="A296">
        <v>1295</v>
      </c>
      <c r="B296" s="1">
        <v>46054</v>
      </c>
      <c r="C296" t="s">
        <v>330</v>
      </c>
      <c r="D296" t="s">
        <v>46</v>
      </c>
      <c r="E296" t="s">
        <v>55</v>
      </c>
      <c r="F296" t="s">
        <v>50</v>
      </c>
      <c r="G296">
        <v>3</v>
      </c>
      <c r="H296">
        <v>2000</v>
      </c>
      <c r="I296">
        <v>6000</v>
      </c>
      <c r="J296" t="s">
        <v>19</v>
      </c>
    </row>
    <row r="297" spans="1:10" x14ac:dyDescent="0.3">
      <c r="A297">
        <v>1296</v>
      </c>
      <c r="B297" s="1">
        <v>46025</v>
      </c>
      <c r="C297" t="s">
        <v>331</v>
      </c>
      <c r="D297" t="s">
        <v>21</v>
      </c>
      <c r="E297" t="s">
        <v>17</v>
      </c>
      <c r="F297" t="s">
        <v>18</v>
      </c>
      <c r="G297">
        <v>1</v>
      </c>
      <c r="H297">
        <v>500</v>
      </c>
      <c r="I297">
        <v>500</v>
      </c>
      <c r="J297" t="s">
        <v>25</v>
      </c>
    </row>
    <row r="298" spans="1:10" x14ac:dyDescent="0.3">
      <c r="A298">
        <v>1297</v>
      </c>
      <c r="B298" s="1">
        <v>46046</v>
      </c>
      <c r="C298" t="s">
        <v>332</v>
      </c>
      <c r="D298" t="s">
        <v>21</v>
      </c>
      <c r="E298" t="s">
        <v>17</v>
      </c>
      <c r="F298" t="s">
        <v>18</v>
      </c>
      <c r="G298">
        <v>2</v>
      </c>
      <c r="H298">
        <v>500</v>
      </c>
      <c r="I298">
        <v>1000</v>
      </c>
      <c r="J298" t="s">
        <v>25</v>
      </c>
    </row>
    <row r="299" spans="1:10" x14ac:dyDescent="0.3">
      <c r="A299">
        <v>1298</v>
      </c>
      <c r="B299" s="1">
        <v>46044</v>
      </c>
      <c r="C299" t="s">
        <v>333</v>
      </c>
      <c r="D299" t="s">
        <v>54</v>
      </c>
      <c r="E299" t="s">
        <v>58</v>
      </c>
      <c r="F299" t="s">
        <v>13</v>
      </c>
      <c r="G299">
        <v>2</v>
      </c>
      <c r="H299">
        <v>20000</v>
      </c>
      <c r="I299">
        <v>40000</v>
      </c>
      <c r="J299" t="s">
        <v>25</v>
      </c>
    </row>
    <row r="300" spans="1:10" x14ac:dyDescent="0.3">
      <c r="A300">
        <v>1299</v>
      </c>
      <c r="B300" s="1">
        <v>46066</v>
      </c>
      <c r="C300" t="s">
        <v>334</v>
      </c>
      <c r="D300" t="s">
        <v>36</v>
      </c>
      <c r="E300" t="s">
        <v>24</v>
      </c>
      <c r="F300" t="s">
        <v>18</v>
      </c>
      <c r="G300">
        <v>3</v>
      </c>
      <c r="H300">
        <v>2000</v>
      </c>
      <c r="I300">
        <v>6000</v>
      </c>
      <c r="J300" t="s">
        <v>25</v>
      </c>
    </row>
    <row r="301" spans="1:10" x14ac:dyDescent="0.3">
      <c r="A301">
        <v>1300</v>
      </c>
      <c r="B301" s="1">
        <v>46041</v>
      </c>
      <c r="C301" t="s">
        <v>335</v>
      </c>
      <c r="D301" t="s">
        <v>16</v>
      </c>
      <c r="E301" t="s">
        <v>58</v>
      </c>
      <c r="F301" t="s">
        <v>13</v>
      </c>
      <c r="G301">
        <v>2</v>
      </c>
      <c r="H301">
        <v>20000</v>
      </c>
      <c r="I301">
        <v>40000</v>
      </c>
      <c r="J30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online_shopping_data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bora</dc:creator>
  <cp:lastModifiedBy>Rohit bora</cp:lastModifiedBy>
  <dcterms:created xsi:type="dcterms:W3CDTF">2026-03-27T16:18:07Z</dcterms:created>
  <dcterms:modified xsi:type="dcterms:W3CDTF">2026-03-27T17:40:15Z</dcterms:modified>
</cp:coreProperties>
</file>